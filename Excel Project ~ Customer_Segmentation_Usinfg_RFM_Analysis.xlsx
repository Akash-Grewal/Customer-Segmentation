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E745DA67-C380-E44D-9E7F-EE9D246167C8}" xr6:coauthVersionLast="47" xr6:coauthVersionMax="47" xr10:uidLastSave="{00000000-0000-0000-0000-000000000000}"/>
  <bookViews>
    <workbookView xWindow="0" yWindow="0" windowWidth="24000" windowHeight="10800" tabRatio="500" xr2:uid="{00000000-000D-0000-FFFF-FFFF00000000}"/>
  </bookViews>
  <sheets>
    <sheet name="Raw Data" sheetId="1" r:id="rId1"/>
    <sheet name="RFM Analysis" sheetId="2" r:id="rId2"/>
    <sheet name="Summary Stats" sheetId="3" r:id="rId3"/>
    <sheet name="Dashboard" sheetId="4" r:id="rId4"/>
    <sheet name="Formula Glossary" sheetId="5" r:id="rId5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4" l="1"/>
  <c r="C18" i="3"/>
  <c r="H3" i="1"/>
  <c r="D3" i="2"/>
  <c r="H4" i="1"/>
  <c r="D4" i="2"/>
  <c r="H5" i="1"/>
  <c r="D5" i="2"/>
  <c r="H6" i="1"/>
  <c r="D6" i="2"/>
  <c r="H7" i="1"/>
  <c r="D7" i="2"/>
  <c r="H8" i="1"/>
  <c r="D8" i="2"/>
  <c r="H9" i="1"/>
  <c r="D9" i="2"/>
  <c r="H10" i="1"/>
  <c r="D10" i="2"/>
  <c r="H11" i="1"/>
  <c r="D11" i="2"/>
  <c r="H12" i="1"/>
  <c r="D12" i="2"/>
  <c r="H13" i="1"/>
  <c r="D13" i="2"/>
  <c r="H14" i="1"/>
  <c r="D14" i="2"/>
  <c r="H15" i="1"/>
  <c r="D15" i="2"/>
  <c r="H16" i="1"/>
  <c r="D16" i="2"/>
  <c r="H17" i="1"/>
  <c r="D17" i="2"/>
  <c r="H18" i="1"/>
  <c r="D18" i="2"/>
  <c r="H19" i="1"/>
  <c r="D19" i="2"/>
  <c r="H20" i="1"/>
  <c r="D20" i="2"/>
  <c r="H21" i="1"/>
  <c r="D21" i="2"/>
  <c r="H22" i="1"/>
  <c r="D22" i="2"/>
  <c r="H23" i="1"/>
  <c r="D23" i="2"/>
  <c r="H24" i="1"/>
  <c r="D24" i="2"/>
  <c r="H25" i="1"/>
  <c r="D25" i="2"/>
  <c r="H26" i="1"/>
  <c r="D26" i="2"/>
  <c r="H27" i="1"/>
  <c r="D27" i="2"/>
  <c r="H28" i="1"/>
  <c r="D28" i="2"/>
  <c r="H29" i="1"/>
  <c r="D29" i="2"/>
  <c r="H30" i="1"/>
  <c r="D30" i="2"/>
  <c r="H31" i="1"/>
  <c r="D31" i="2"/>
  <c r="H32" i="1"/>
  <c r="D32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C15" i="3"/>
  <c r="N6" i="2"/>
  <c r="N5" i="2"/>
  <c r="C8" i="3"/>
  <c r="C7" i="3"/>
  <c r="C6" i="3"/>
  <c r="C5" i="3"/>
  <c r="C4" i="3"/>
  <c r="F6" i="3"/>
  <c r="P10" i="4"/>
  <c r="F5" i="3"/>
  <c r="P9" i="4"/>
  <c r="E4" i="2"/>
  <c r="F4" i="2"/>
  <c r="E5" i="2"/>
  <c r="F5" i="2"/>
  <c r="E13" i="2"/>
  <c r="F13" i="2"/>
  <c r="E14" i="2"/>
  <c r="F14" i="2"/>
  <c r="E17" i="2"/>
  <c r="F17" i="2"/>
  <c r="E21" i="2"/>
  <c r="F21" i="2"/>
  <c r="E22" i="2"/>
  <c r="F22" i="2"/>
  <c r="E26" i="2"/>
  <c r="F26" i="2"/>
  <c r="E28" i="2"/>
  <c r="F28" i="2"/>
  <c r="E29" i="2"/>
  <c r="F29" i="2"/>
  <c r="F4" i="3"/>
  <c r="P8" i="4"/>
  <c r="F3" i="3"/>
  <c r="P7" i="4"/>
  <c r="G4" i="4"/>
  <c r="D4" i="4"/>
  <c r="C3" i="3"/>
  <c r="A4" i="4"/>
  <c r="C17" i="3"/>
  <c r="E32" i="2"/>
  <c r="F32" i="2"/>
  <c r="E31" i="2"/>
  <c r="F31" i="2"/>
  <c r="E30" i="2"/>
  <c r="F30" i="2"/>
  <c r="E27" i="2"/>
  <c r="E25" i="2"/>
  <c r="F25" i="2"/>
  <c r="E24" i="2"/>
  <c r="F24" i="2"/>
  <c r="E23" i="2"/>
  <c r="E20" i="2"/>
  <c r="F20" i="2"/>
  <c r="E19" i="2"/>
  <c r="F19" i="2"/>
  <c r="E18" i="2"/>
  <c r="F18" i="2"/>
  <c r="E16" i="2"/>
  <c r="E15" i="2"/>
  <c r="E12" i="2"/>
  <c r="E11" i="2"/>
  <c r="E10" i="2"/>
  <c r="E9" i="2"/>
  <c r="F9" i="2"/>
  <c r="E8" i="2"/>
  <c r="F8" i="2"/>
  <c r="E7" i="2"/>
  <c r="F7" i="2"/>
  <c r="E6" i="2"/>
  <c r="F6" i="2"/>
  <c r="E3" i="2"/>
  <c r="N8" i="2"/>
  <c r="F11" i="2"/>
  <c r="F10" i="2"/>
  <c r="F16" i="2"/>
  <c r="F12" i="2"/>
  <c r="F23" i="2"/>
  <c r="F3" i="2"/>
  <c r="F15" i="2"/>
  <c r="F27" i="2"/>
  <c r="N7" i="2"/>
  <c r="N9" i="2"/>
  <c r="C13" i="3"/>
  <c r="J9" i="4"/>
  <c r="C12" i="3"/>
  <c r="J8" i="4"/>
  <c r="C14" i="3"/>
  <c r="J10" i="4"/>
  <c r="C11" i="3"/>
  <c r="D10" i="4"/>
  <c r="C10" i="3"/>
  <c r="D9" i="4"/>
  <c r="C9" i="3"/>
  <c r="D8" i="4"/>
</calcChain>
</file>

<file path=xl/sharedStrings.xml><?xml version="1.0" encoding="utf-8"?>
<sst xmlns="http://schemas.openxmlformats.org/spreadsheetml/2006/main" count="392" uniqueCount="199">
  <si>
    <t>Customer Transaction Data – Excel Using Data Science Project</t>
  </si>
  <si>
    <t>Customer ID</t>
  </si>
  <si>
    <t>Customer Name</t>
  </si>
  <si>
    <t>Region</t>
  </si>
  <si>
    <t>Purchase Date</t>
  </si>
  <si>
    <t>Product Category</t>
  </si>
  <si>
    <t>Units Sold</t>
  </si>
  <si>
    <t>Unit Price (₹)</t>
  </si>
  <si>
    <t>Total Revenue (₹)</t>
  </si>
  <si>
    <t>C1001</t>
  </si>
  <si>
    <t>Amit Sharma</t>
  </si>
  <si>
    <t>North</t>
  </si>
  <si>
    <t>2024-01-15</t>
  </si>
  <si>
    <t>Electronics</t>
  </si>
  <si>
    <t>C1002</t>
  </si>
  <si>
    <t>Priya Verma</t>
  </si>
  <si>
    <t>South</t>
  </si>
  <si>
    <t>2024-02-10</t>
  </si>
  <si>
    <t>Clothing</t>
  </si>
  <si>
    <t>C1003</t>
  </si>
  <si>
    <t>Rahul Singh</t>
  </si>
  <si>
    <t>East</t>
  </si>
  <si>
    <t>2024-03-05</t>
  </si>
  <si>
    <t>Furniture</t>
  </si>
  <si>
    <t>C1004</t>
  </si>
  <si>
    <t>Sneha Patel</t>
  </si>
  <si>
    <t>West</t>
  </si>
  <si>
    <t>2024-04-20</t>
  </si>
  <si>
    <t>Groceries</t>
  </si>
  <si>
    <t>C1005</t>
  </si>
  <si>
    <t>Vikram Nair</t>
  </si>
  <si>
    <t>2024-05-18</t>
  </si>
  <si>
    <t>Sports</t>
  </si>
  <si>
    <t>C1006</t>
  </si>
  <si>
    <t>Ananya Roy</t>
  </si>
  <si>
    <t>2024-06-22</t>
  </si>
  <si>
    <t>C1007</t>
  </si>
  <si>
    <t>Karan Mehta</t>
  </si>
  <si>
    <t>2024-07-08</t>
  </si>
  <si>
    <t>C1008</t>
  </si>
  <si>
    <t>Divya Joshi</t>
  </si>
  <si>
    <t>2024-08-14</t>
  </si>
  <si>
    <t>C1009</t>
  </si>
  <si>
    <t>Rohan Gupta</t>
  </si>
  <si>
    <t>2024-09-30</t>
  </si>
  <si>
    <t>C1010</t>
  </si>
  <si>
    <t>Pooja Yadav</t>
  </si>
  <si>
    <t>2024-10-11</t>
  </si>
  <si>
    <t>C1011</t>
  </si>
  <si>
    <t>Arun Kumar</t>
  </si>
  <si>
    <t>2024-11-25</t>
  </si>
  <si>
    <t>C1012</t>
  </si>
  <si>
    <t>Meera Iyer</t>
  </si>
  <si>
    <t>2024-12-03</t>
  </si>
  <si>
    <t>C1013</t>
  </si>
  <si>
    <t>Suresh Reddy</t>
  </si>
  <si>
    <t>C1014</t>
  </si>
  <si>
    <t>Kavya Nair</t>
  </si>
  <si>
    <t>C1015</t>
  </si>
  <si>
    <t>Nikhil Das</t>
  </si>
  <si>
    <t>C1016</t>
  </si>
  <si>
    <t>Simran Kaur</t>
  </si>
  <si>
    <t>C1017</t>
  </si>
  <si>
    <t>Arjun Menon</t>
  </si>
  <si>
    <t>C1018</t>
  </si>
  <si>
    <t>Ritu Bose</t>
  </si>
  <si>
    <t>C1019</t>
  </si>
  <si>
    <t>Deepak Tiwari</t>
  </si>
  <si>
    <t>C1020</t>
  </si>
  <si>
    <t>Nisha Pillai</t>
  </si>
  <si>
    <t>C1021</t>
  </si>
  <si>
    <t>Sanjay Ghosh</t>
  </si>
  <si>
    <t>C1022</t>
  </si>
  <si>
    <t>Lalita Mishra</t>
  </si>
  <si>
    <t>C1023</t>
  </si>
  <si>
    <t>Manoj Sinha</t>
  </si>
  <si>
    <t>C1024</t>
  </si>
  <si>
    <t>Rekha Pandey</t>
  </si>
  <si>
    <t>C1025</t>
  </si>
  <si>
    <t>Vivek Jain</t>
  </si>
  <si>
    <t>C1026</t>
  </si>
  <si>
    <t>Anita Saxena</t>
  </si>
  <si>
    <t>C1027</t>
  </si>
  <si>
    <t>Pankaj Rao</t>
  </si>
  <si>
    <t>C1028</t>
  </si>
  <si>
    <t>Shreya Bhat</t>
  </si>
  <si>
    <t>C1029</t>
  </si>
  <si>
    <t>Gaurav Chandra</t>
  </si>
  <si>
    <t>C1030</t>
  </si>
  <si>
    <t>Tanvi Shah</t>
  </si>
  <si>
    <t>RFM Customer Segmentation Analysis</t>
  </si>
  <si>
    <t>Avg Order Value (₹)</t>
  </si>
  <si>
    <t>Recency Score</t>
  </si>
  <si>
    <t>Frequency Score</t>
  </si>
  <si>
    <t>Monetary Score</t>
  </si>
  <si>
    <t>RFM Total Score</t>
  </si>
  <si>
    <t>Segment</t>
  </si>
  <si>
    <t>Segment Legend</t>
  </si>
  <si>
    <t>High Value</t>
  </si>
  <si>
    <t>RFM ≥ 18 — Best customers; high spend, frequent buyers</t>
  </si>
  <si>
    <t>Mid Value</t>
  </si>
  <si>
    <t>RFM 10–17 — Occasional buyers; moderate spend</t>
  </si>
  <si>
    <t>Low Value</t>
  </si>
  <si>
    <t>RFM &lt; 10 — Rare buyers; needs re-engagement</t>
  </si>
  <si>
    <t>Summary Statistics &amp; Formulas Used</t>
  </si>
  <si>
    <t>Metric</t>
  </si>
  <si>
    <t>Formula Used</t>
  </si>
  <si>
    <t>Value</t>
  </si>
  <si>
    <t>Region-wise Revenue</t>
  </si>
  <si>
    <t>Total Customers</t>
  </si>
  <si>
    <t>COUNTA</t>
  </si>
  <si>
    <t>SUM</t>
  </si>
  <si>
    <t>Average Revenue</t>
  </si>
  <si>
    <t>AVERAGE</t>
  </si>
  <si>
    <t>Max Revenue</t>
  </si>
  <si>
    <t>MAX</t>
  </si>
  <si>
    <t>Min Revenue</t>
  </si>
  <si>
    <t>MIN</t>
  </si>
  <si>
    <t>Std Dev of Revenue</t>
  </si>
  <si>
    <t>STDEV</t>
  </si>
  <si>
    <t>High Value Count</t>
  </si>
  <si>
    <t>COUNTIF</t>
  </si>
  <si>
    <t>Mid Value Count</t>
  </si>
  <si>
    <t>Low Value Count</t>
  </si>
  <si>
    <t>High Value Revenue</t>
  </si>
  <si>
    <t>SUMIF</t>
  </si>
  <si>
    <t>Mid Value Revenue</t>
  </si>
  <si>
    <t>Low Value Revenue</t>
  </si>
  <si>
    <t>% High Value</t>
  </si>
  <si>
    <t>COUNTIF / COUNTA</t>
  </si>
  <si>
    <t>Top Region Revenue</t>
  </si>
  <si>
    <t>MAXIFS</t>
  </si>
  <si>
    <t>Avg Units Sold</t>
  </si>
  <si>
    <t>📊 Customer Segmentation Dashboard</t>
  </si>
  <si>
    <t>Total Revenue</t>
  </si>
  <si>
    <t>Avg Revenue</t>
  </si>
  <si>
    <t>High Value Cust</t>
  </si>
  <si>
    <t>Count</t>
  </si>
  <si>
    <t>Revenue</t>
  </si>
  <si>
    <t>Formula Glossary – Formulas Used in This Project</t>
  </si>
  <si>
    <t>#</t>
  </si>
  <si>
    <t>Formula</t>
  </si>
  <si>
    <t>Purpose</t>
  </si>
  <si>
    <t>Example</t>
  </si>
  <si>
    <t>SUM()</t>
  </si>
  <si>
    <t>Adds all values in a range</t>
  </si>
  <si>
    <t>AVERAGE()</t>
  </si>
  <si>
    <t>Calculates mean of values</t>
  </si>
  <si>
    <t>COUNT()</t>
  </si>
  <si>
    <t>Counts numeric cells</t>
  </si>
  <si>
    <t>COUNTA()</t>
  </si>
  <si>
    <t>Counts non-empty cells (text + numbers)</t>
  </si>
  <si>
    <t>COUNTIF()</t>
  </si>
  <si>
    <t>Counts cells matching a condition</t>
  </si>
  <si>
    <t>SUMIF()</t>
  </si>
  <si>
    <t>Sums values where condition is true</t>
  </si>
  <si>
    <t>MAX()</t>
  </si>
  <si>
    <t>Returns largest value in range</t>
  </si>
  <si>
    <t>MIN()</t>
  </si>
  <si>
    <t>Returns smallest value in range</t>
  </si>
  <si>
    <t>STDEV()</t>
  </si>
  <si>
    <t>Measures spread / variability of data</t>
  </si>
  <si>
    <t>IF()</t>
  </si>
  <si>
    <t>Returns value based on condition (True/False)</t>
  </si>
  <si>
    <t>IFERROR()</t>
  </si>
  <si>
    <t>Handles errors gracefully</t>
  </si>
  <si>
    <t>RANK()</t>
  </si>
  <si>
    <t>Ranks a value within a range</t>
  </si>
  <si>
    <t>F3*G3</t>
  </si>
  <si>
    <t>Multiplication *</t>
  </si>
  <si>
    <t>Multiplies two cells</t>
  </si>
  <si>
    <t>Division /</t>
  </si>
  <si>
    <t>Divides one cell by another</t>
  </si>
  <si>
    <t>D3/E3</t>
  </si>
  <si>
    <t>Cross-sheet ref</t>
  </si>
  <si>
    <t>Links data between sheets</t>
  </si>
  <si>
    <t>SUM('Raw Data'!H3:H32)</t>
  </si>
  <si>
    <t>AVERAGE('Raw Data'!H3:H32)</t>
  </si>
  <si>
    <t>COUNT('Raw Data'!H3:H32)</t>
  </si>
  <si>
    <t>COUNTA('Raw Data'!A3:A32)</t>
  </si>
  <si>
    <t>COUNTIF('RFM Analysis'!K3:K32,"High Value")</t>
  </si>
  <si>
    <t>SUMIF('RFM Analysis'!K3:K32,"High Value",'RFM Analysis'!D3:D32)</t>
  </si>
  <si>
    <t>MAX('Raw Data'!H3:H32)</t>
  </si>
  <si>
    <t>MIN('Raw Data'!H3:H32)</t>
  </si>
  <si>
    <t>STDEV('Raw Data'!H3:H32)</t>
  </si>
  <si>
    <t>IF(J3&gt;=18,"High Value","Low Value")</t>
  </si>
  <si>
    <t>IFERROR(D3/E3,0)</t>
  </si>
  <si>
    <t>Raw Data'!H3</t>
  </si>
  <si>
    <t>RANK(D3,'RFM Analysis'!$D$3:$D$32,1)</t>
  </si>
  <si>
    <t>Customer_id</t>
  </si>
  <si>
    <t>Name</t>
  </si>
  <si>
    <t>Unit sold</t>
  </si>
  <si>
    <t>RFM segment</t>
  </si>
  <si>
    <t>SEARCH HERE</t>
  </si>
  <si>
    <t>Searching value</t>
  </si>
  <si>
    <t>VLOOKUP</t>
  </si>
  <si>
    <t>Vlookup</t>
  </si>
  <si>
    <t>VLOOKUP('RFM Analysis'!N4,'RFM Analysis'!A2:K32,1,FALSE)</t>
  </si>
  <si>
    <t>To efficiently find, merge, or cross-reference data across large datasets based on a shared identifier.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</si>
</sst>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\₹#,##0.00"/>
    <numFmt numFmtId="166" formatCode="0.0%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4E79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i/>
      <sz val="10"/>
      <color rgb="FF1F4E79"/>
      <name val="Arial"/>
      <charset val="1"/>
    </font>
    <font>
      <b/>
      <sz val="15"/>
      <color rgb="FFFFFFFF"/>
      <name val="Arial"/>
      <charset val="1"/>
    </font>
    <font>
      <b/>
      <sz val="14"/>
      <color rgb="FF1F4E79"/>
      <name val="Arial"/>
      <charset val="1"/>
    </font>
    <font>
      <b/>
      <sz val="14"/>
      <color rgb="FF196F3D"/>
      <name val="Arial"/>
      <charset val="1"/>
    </font>
    <font>
      <b/>
      <sz val="14"/>
      <color rgb="FF7D3C98"/>
      <name val="Arial"/>
      <charset val="1"/>
    </font>
    <font>
      <b/>
      <sz val="14"/>
      <color rgb="FFC0392B"/>
      <name val="Arial"/>
      <charset val="1"/>
    </font>
    <font>
      <i/>
      <sz val="10"/>
      <color rgb="FF196F3D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i/>
      <sz val="10"/>
      <color rgb="FF1F4E79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E2EFDA"/>
      </patternFill>
    </fill>
    <fill>
      <patternFill patternType="solid">
        <fgColor rgb="FF196F3D"/>
        <bgColor rgb="FF008080"/>
      </patternFill>
    </fill>
    <fill>
      <patternFill patternType="solid">
        <fgColor rgb="FF7D3C98"/>
        <bgColor rgb="FF800080"/>
      </patternFill>
    </fill>
    <fill>
      <patternFill patternType="solid">
        <fgColor rgb="FFC0392B"/>
        <bgColor rgb="FFC0504D"/>
      </patternFill>
    </fill>
    <fill>
      <patternFill patternType="solid">
        <fgColor rgb="FFF2F2F2"/>
        <bgColor rgb="FFF9F9F9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/>
    <xf numFmtId="0" fontId="3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65" fontId="3" fillId="8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/>
    <xf numFmtId="0" fontId="7" fillId="4" borderId="1" xfId="0" applyFont="1" applyFill="1" applyBorder="1" applyAlignment="1"/>
    <xf numFmtId="0" fontId="6" fillId="0" borderId="1" xfId="0" applyFont="1" applyBorder="1" applyAlignment="1"/>
    <xf numFmtId="164" fontId="3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/>
    <xf numFmtId="0" fontId="7" fillId="5" borderId="1" xfId="0" applyFont="1" applyFill="1" applyBorder="1" applyAlignment="1"/>
    <xf numFmtId="164" fontId="0" fillId="0" borderId="0" xfId="0" applyNumberFormat="1" applyAlignment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164" fontId="13" fillId="4" borderId="1" xfId="0" quotePrefix="1" applyNumberFormat="1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7" fillId="5" borderId="2" xfId="0" applyFont="1" applyFill="1" applyBorder="1" applyAlignment="1"/>
    <xf numFmtId="0" fontId="18" fillId="5" borderId="2" xfId="0" applyFont="1" applyFill="1" applyBorder="1" applyAlignment="1"/>
    <xf numFmtId="0" fontId="17" fillId="4" borderId="1" xfId="0" applyFont="1" applyFill="1" applyBorder="1" applyAlignment="1">
      <alignment horizontal="center"/>
    </xf>
    <xf numFmtId="164" fontId="17" fillId="5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166" fontId="17" fillId="4" borderId="1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0" fillId="5" borderId="2" xfId="0" applyFill="1" applyBorder="1" applyAlignment="1">
      <alignment horizontal="center"/>
    </xf>
    <xf numFmtId="0" fontId="20" fillId="5" borderId="2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horizontal="center"/>
    </xf>
    <xf numFmtId="0" fontId="5" fillId="7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9" fillId="12" borderId="0" xfId="0" applyFont="1" applyFill="1" applyBorder="1" applyAlignment="1">
      <alignment horizontal="center" vertical="center"/>
    </xf>
    <xf numFmtId="164" fontId="10" fillId="12" borderId="0" xfId="0" applyNumberFormat="1" applyFont="1" applyFill="1" applyBorder="1" applyAlignment="1">
      <alignment horizontal="center" vertical="center"/>
    </xf>
    <xf numFmtId="164" fontId="11" fillId="12" borderId="0" xfId="0" applyNumberFormat="1" applyFont="1" applyFill="1" applyBorder="1" applyAlignment="1">
      <alignment horizontal="center" vertical="center"/>
    </xf>
    <xf numFmtId="164" fontId="12" fillId="1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numFmt numFmtId="164" formatCode="\₹#,##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\₹#,##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000080"/>
      <rgbColor rgb="FF808000"/>
      <rgbColor rgb="FF800080"/>
      <rgbColor rgb="FF008080"/>
      <rgbColor rgb="FFB0B0B0"/>
      <rgbColor rgb="FF878787"/>
      <rgbColor rgb="FF9999FF"/>
      <rgbColor rgb="FF7D3C98"/>
      <rgbColor rgb="FFF9F9F9"/>
      <rgbColor rgb="FFDEEAF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B9C"/>
      <rgbColor rgb="FF9DC3E6"/>
      <rgbColor rgb="FFFF99CC"/>
      <rgbColor rgb="FFCC99FF"/>
      <rgbColor rgb="FFFFC7CE"/>
      <rgbColor rgb="FF4472C4"/>
      <rgbColor rgb="FF33CCCC"/>
      <rgbColor rgb="FF9BBB59"/>
      <rgbColor rgb="FFFFC000"/>
      <rgbColor rgb="FFFF9900"/>
      <rgbColor rgb="FFED7D31"/>
      <rgbColor rgb="FF4F81BD"/>
      <rgbColor rgb="FF70AD47"/>
      <rgbColor rgb="FF003366"/>
      <rgbColor rgb="FF339966"/>
      <rgbColor rgb="FF003300"/>
      <rgbColor rgb="FF333300"/>
      <rgbColor rgb="FFC0392B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per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Dashboard!$C$8:$C$10</c:f>
              <c:strCache>
                <c:ptCount val="3"/>
                <c:pt idx="0">
                  <c:v>High Value</c:v>
                </c:pt>
                <c:pt idx="1">
                  <c:v>Mid Value</c:v>
                </c:pt>
                <c:pt idx="2">
                  <c:v>Low Value</c:v>
                </c:pt>
              </c:strCache>
            </c:strRef>
          </c:cat>
          <c:val>
            <c:numRef>
              <c:f>Dashboard!$D$8:$D$10</c:f>
              <c:numCache>
                <c:formatCode>General</c:formatCode>
                <c:ptCount val="3"/>
                <c:pt idx="0">
                  <c:v>20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5-AC4F-8478-9F4079E0D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15707"/>
        <c:axId val="961425"/>
      </c:barChart>
      <c:catAx>
        <c:axId val="910157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1425"/>
        <c:crosses val="autoZero"/>
        <c:auto val="1"/>
        <c:lblAlgn val="ctr"/>
        <c:lblOffset val="100"/>
        <c:noMultiLvlLbl val="0"/>
      </c:catAx>
      <c:valAx>
        <c:axId val="961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157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630-4F5F-8186-0872DBD7883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9630-4F5F-8186-0872DBD7883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9630-4F5F-8186-0872DBD7883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30-4F5F-8186-0872DBD7883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30-4F5F-8186-0872DBD7883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30-4F5F-8186-0872DBD78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Dashboard!$I$8:$I$10</c:f>
              <c:strCache>
                <c:ptCount val="3"/>
                <c:pt idx="0">
                  <c:v>High Value</c:v>
                </c:pt>
                <c:pt idx="1">
                  <c:v>Mid Value</c:v>
                </c:pt>
                <c:pt idx="2">
                  <c:v>Low Value</c:v>
                </c:pt>
              </c:strCache>
            </c:strRef>
          </c:cat>
          <c:val>
            <c:numRef>
              <c:f>Dashboard!$J$8:$J$10</c:f>
              <c:numCache>
                <c:formatCode>\₹#,##0</c:formatCode>
                <c:ptCount val="3"/>
                <c:pt idx="0">
                  <c:v>272767</c:v>
                </c:pt>
                <c:pt idx="1">
                  <c:v>17959</c:v>
                </c:pt>
                <c:pt idx="2">
                  <c:v>3086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F-9543-B463-E9B0D7559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Region-wise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Dashboard!$O$7:$O$10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Dashboard!$P$7:$P$10</c:f>
              <c:numCache>
                <c:formatCode>\₹#,##0</c:formatCode>
                <c:ptCount val="4"/>
                <c:pt idx="0">
                  <c:v>63333</c:v>
                </c:pt>
                <c:pt idx="1">
                  <c:v>112285</c:v>
                </c:pt>
                <c:pt idx="2">
                  <c:v>50148</c:v>
                </c:pt>
                <c:pt idx="3">
                  <c:v>68046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E-6B40-A6F0-E9C7EF7C8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34691"/>
        <c:axId val="18649268"/>
      </c:barChart>
      <c:catAx>
        <c:axId val="527346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49268"/>
        <c:crosses val="autoZero"/>
        <c:auto val="1"/>
        <c:lblAlgn val="ctr"/>
        <c:lblOffset val="100"/>
        <c:noMultiLvlLbl val="0"/>
      </c:catAx>
      <c:valAx>
        <c:axId val="18649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34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11</xdr:row>
      <xdr:rowOff>19050</xdr:rowOff>
    </xdr:from>
    <xdr:to>
      <xdr:col>5</xdr:col>
      <xdr:colOff>514725</xdr:colOff>
      <xdr:row>31</xdr:row>
      <xdr:rowOff>185310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704849</xdr:colOff>
      <xdr:row>11</xdr:row>
      <xdr:rowOff>38099</xdr:rowOff>
    </xdr:from>
    <xdr:to>
      <xdr:col>12</xdr:col>
      <xdr:colOff>190500</xdr:colOff>
      <xdr:row>28</xdr:row>
      <xdr:rowOff>61484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47625</xdr:colOff>
      <xdr:row>10</xdr:row>
      <xdr:rowOff>152399</xdr:rowOff>
    </xdr:from>
    <xdr:to>
      <xdr:col>19</xdr:col>
      <xdr:colOff>48000</xdr:colOff>
      <xdr:row>27</xdr:row>
      <xdr:rowOff>175784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M4:N9" headerRowCount="0" totalsRowShown="0" headerRowDxfId="13" dataDxfId="12">
  <tableColumns count="2">
    <tableColumn id="1" xr3:uid="{00000000-0010-0000-0000-000001000000}" name="Column1" dataDxfId="11"/>
    <tableColumn id="2" xr3:uid="{00000000-0010-0000-0000-000002000000}" name="Column2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7:D10" totalsRowShown="0" headerRowDxfId="9" dataDxfId="8">
  <autoFilter ref="C7:D10" xr:uid="{00000000-0009-0000-0100-000002000000}">
    <filterColumn colId="0" hiddenButton="1"/>
    <filterColumn colId="1" hiddenButton="1"/>
  </autoFilter>
  <tableColumns count="2">
    <tableColumn id="1" xr3:uid="{00000000-0010-0000-0100-000001000000}" name="Segment" dataDxfId="7"/>
    <tableColumn id="2" xr3:uid="{00000000-0010-0000-0100-000002000000}" name="Count" dataDxfId="6">
      <calculatedColumnFormula>'Summary Stats'!C9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I7:J10" totalsRowShown="0" headerRowDxfId="5">
  <autoFilter ref="I7:J10" xr:uid="{00000000-0009-0000-0100-000005000000}">
    <filterColumn colId="0" hiddenButton="1"/>
    <filterColumn colId="1" hiddenButton="1"/>
  </autoFilter>
  <tableColumns count="2">
    <tableColumn id="1" xr3:uid="{00000000-0010-0000-0200-000001000000}" name="Segment" dataDxfId="4"/>
    <tableColumn id="2" xr3:uid="{00000000-0010-0000-0200-000002000000}" name="Revenue" dataDxfId="3">
      <calculatedColumnFormula>'Summary Stats'!C12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O6:P10" totalsRowShown="0" headerRowDxfId="2">
  <autoFilter ref="O6:P10" xr:uid="{00000000-0009-0000-0100-000006000000}">
    <filterColumn colId="0" hiddenButton="1"/>
    <filterColumn colId="1" hiddenButton="1"/>
  </autoFilter>
  <tableColumns count="2">
    <tableColumn id="1" xr3:uid="{00000000-0010-0000-0300-000001000000}" name="Region" dataDxfId="1"/>
    <tableColumn id="2" xr3:uid="{00000000-0010-0000-0300-000002000000}" name="Revenue" dataDxfId="0">
      <calculatedColumnFormula>'Summary Stats'!F3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drawing" Target="../drawings/drawing1.xml" /><Relationship Id="rId4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32"/>
  <sheetViews>
    <sheetView tabSelected="1" zoomScaleNormal="100" workbookViewId="0">
      <selection sqref="A1:H1"/>
    </sheetView>
  </sheetViews>
  <sheetFormatPr defaultColWidth="8.7421875" defaultRowHeight="15" x14ac:dyDescent="0.2"/>
  <cols>
    <col min="1" max="1" width="11.97265625" style="1" customWidth="1"/>
    <col min="2" max="2" width="18.0234375" style="1" customWidth="1"/>
    <col min="3" max="3" width="9.953125" style="1" customWidth="1"/>
    <col min="4" max="5" width="13.98828125" style="1" customWidth="1"/>
    <col min="6" max="6" width="11.97265625" style="1" customWidth="1"/>
    <col min="7" max="7" width="13.98828125" style="1" customWidth="1"/>
    <col min="8" max="8" width="16.0078125" style="1" customWidth="1"/>
  </cols>
  <sheetData>
    <row r="1" spans="1:8" ht="27.75" customHeight="1" x14ac:dyDescent="0.2">
      <c r="A1" s="46" t="s">
        <v>0</v>
      </c>
      <c r="B1" s="46"/>
      <c r="C1" s="46"/>
      <c r="D1" s="46"/>
      <c r="E1" s="46"/>
      <c r="F1" s="46"/>
      <c r="G1" s="46"/>
      <c r="H1" s="46"/>
    </row>
    <row r="2" spans="1:8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2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4</v>
      </c>
      <c r="G3" s="3">
        <v>199</v>
      </c>
      <c r="H3" s="4">
        <f t="shared" ref="H3:H32" si="0">F3*G3</f>
        <v>796</v>
      </c>
    </row>
    <row r="4" spans="1:8" ht="15" customHeight="1" x14ac:dyDescent="0.2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>
        <v>9</v>
      </c>
      <c r="G4" s="5">
        <v>299</v>
      </c>
      <c r="H4" s="6">
        <f t="shared" si="0"/>
        <v>2691</v>
      </c>
    </row>
    <row r="5" spans="1:8" ht="15" customHeight="1" x14ac:dyDescent="0.2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8</v>
      </c>
      <c r="G5" s="3">
        <v>299</v>
      </c>
      <c r="H5" s="4">
        <f t="shared" si="0"/>
        <v>2392</v>
      </c>
    </row>
    <row r="6" spans="1:8" ht="15" customHeight="1" x14ac:dyDescent="0.2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>
        <v>4</v>
      </c>
      <c r="G6" s="5">
        <v>1999</v>
      </c>
      <c r="H6" s="6">
        <f t="shared" si="0"/>
        <v>7996</v>
      </c>
    </row>
    <row r="7" spans="1:8" ht="15" customHeight="1" x14ac:dyDescent="0.2">
      <c r="A7" s="3" t="s">
        <v>29</v>
      </c>
      <c r="B7" s="3" t="s">
        <v>30</v>
      </c>
      <c r="C7" s="3" t="s">
        <v>11</v>
      </c>
      <c r="D7" s="3" t="s">
        <v>31</v>
      </c>
      <c r="E7" s="3" t="s">
        <v>32</v>
      </c>
      <c r="F7" s="3">
        <v>18</v>
      </c>
      <c r="G7" s="3">
        <v>199</v>
      </c>
      <c r="H7" s="4">
        <f t="shared" si="0"/>
        <v>3582</v>
      </c>
    </row>
    <row r="8" spans="1:8" ht="15" customHeight="1" x14ac:dyDescent="0.2">
      <c r="A8" s="5" t="s">
        <v>33</v>
      </c>
      <c r="B8" s="5" t="s">
        <v>34</v>
      </c>
      <c r="C8" s="5" t="s">
        <v>16</v>
      </c>
      <c r="D8" s="5" t="s">
        <v>35</v>
      </c>
      <c r="E8" s="5" t="s">
        <v>13</v>
      </c>
      <c r="F8" s="5">
        <v>19</v>
      </c>
      <c r="G8" s="5">
        <v>999</v>
      </c>
      <c r="H8" s="6">
        <f t="shared" si="0"/>
        <v>18981</v>
      </c>
    </row>
    <row r="9" spans="1:8" ht="15" customHeight="1" x14ac:dyDescent="0.2">
      <c r="A9" s="3" t="s">
        <v>36</v>
      </c>
      <c r="B9" s="3" t="s">
        <v>37</v>
      </c>
      <c r="C9" s="3" t="s">
        <v>21</v>
      </c>
      <c r="D9" s="3" t="s">
        <v>38</v>
      </c>
      <c r="E9" s="3" t="s">
        <v>18</v>
      </c>
      <c r="F9" s="3">
        <v>2</v>
      </c>
      <c r="G9" s="3">
        <v>199</v>
      </c>
      <c r="H9" s="4">
        <f t="shared" si="0"/>
        <v>398</v>
      </c>
    </row>
    <row r="10" spans="1:8" ht="15" customHeight="1" x14ac:dyDescent="0.2">
      <c r="A10" s="5" t="s">
        <v>39</v>
      </c>
      <c r="B10" s="5" t="s">
        <v>40</v>
      </c>
      <c r="C10" s="5" t="s">
        <v>26</v>
      </c>
      <c r="D10" s="5" t="s">
        <v>41</v>
      </c>
      <c r="E10" s="5" t="s">
        <v>23</v>
      </c>
      <c r="F10" s="5">
        <v>3</v>
      </c>
      <c r="G10" s="5">
        <v>299</v>
      </c>
      <c r="H10" s="6">
        <f t="shared" si="0"/>
        <v>897</v>
      </c>
    </row>
    <row r="11" spans="1:8" ht="15" customHeight="1" x14ac:dyDescent="0.2">
      <c r="A11" s="3" t="s">
        <v>42</v>
      </c>
      <c r="B11" s="3" t="s">
        <v>43</v>
      </c>
      <c r="C11" s="3" t="s">
        <v>11</v>
      </c>
      <c r="D11" s="3" t="s">
        <v>44</v>
      </c>
      <c r="E11" s="3" t="s">
        <v>28</v>
      </c>
      <c r="F11" s="3">
        <v>8</v>
      </c>
      <c r="G11" s="3">
        <v>1499</v>
      </c>
      <c r="H11" s="4">
        <f t="shared" si="0"/>
        <v>11992</v>
      </c>
    </row>
    <row r="12" spans="1:8" ht="15" customHeight="1" x14ac:dyDescent="0.2">
      <c r="A12" s="5" t="s">
        <v>45</v>
      </c>
      <c r="B12" s="5" t="s">
        <v>46</v>
      </c>
      <c r="C12" s="5" t="s">
        <v>16</v>
      </c>
      <c r="D12" s="5" t="s">
        <v>47</v>
      </c>
      <c r="E12" s="5" t="s">
        <v>32</v>
      </c>
      <c r="F12" s="5">
        <v>20</v>
      </c>
      <c r="G12" s="5">
        <v>199</v>
      </c>
      <c r="H12" s="6">
        <f t="shared" si="0"/>
        <v>3980</v>
      </c>
    </row>
    <row r="13" spans="1:8" ht="15" customHeight="1" x14ac:dyDescent="0.2">
      <c r="A13" s="3" t="s">
        <v>48</v>
      </c>
      <c r="B13" s="3" t="s">
        <v>49</v>
      </c>
      <c r="C13" s="3" t="s">
        <v>21</v>
      </c>
      <c r="D13" s="3" t="s">
        <v>50</v>
      </c>
      <c r="E13" s="3" t="s">
        <v>13</v>
      </c>
      <c r="F13" s="3">
        <v>18</v>
      </c>
      <c r="G13" s="3">
        <v>299</v>
      </c>
      <c r="H13" s="4">
        <f t="shared" si="0"/>
        <v>5382</v>
      </c>
    </row>
    <row r="14" spans="1:8" ht="15" customHeight="1" x14ac:dyDescent="0.2">
      <c r="A14" s="5" t="s">
        <v>51</v>
      </c>
      <c r="B14" s="5" t="s">
        <v>52</v>
      </c>
      <c r="C14" s="5" t="s">
        <v>26</v>
      </c>
      <c r="D14" s="5" t="s">
        <v>53</v>
      </c>
      <c r="E14" s="5" t="s">
        <v>18</v>
      </c>
      <c r="F14" s="5">
        <v>18</v>
      </c>
      <c r="G14" s="5">
        <v>999</v>
      </c>
      <c r="H14" s="6">
        <f t="shared" si="0"/>
        <v>17982</v>
      </c>
    </row>
    <row r="15" spans="1:8" ht="15" customHeight="1" x14ac:dyDescent="0.2">
      <c r="A15" s="3" t="s">
        <v>54</v>
      </c>
      <c r="B15" s="3" t="s">
        <v>55</v>
      </c>
      <c r="C15" s="3" t="s">
        <v>11</v>
      </c>
      <c r="D15" s="3" t="s">
        <v>12</v>
      </c>
      <c r="E15" s="3" t="s">
        <v>23</v>
      </c>
      <c r="F15" s="3">
        <v>8</v>
      </c>
      <c r="G15" s="3">
        <v>999</v>
      </c>
      <c r="H15" s="4">
        <f t="shared" si="0"/>
        <v>7992</v>
      </c>
    </row>
    <row r="16" spans="1:8" ht="15" customHeight="1" x14ac:dyDescent="0.2">
      <c r="A16" s="5" t="s">
        <v>56</v>
      </c>
      <c r="B16" s="5" t="s">
        <v>57</v>
      </c>
      <c r="C16" s="5" t="s">
        <v>16</v>
      </c>
      <c r="D16" s="5" t="s">
        <v>17</v>
      </c>
      <c r="E16" s="5" t="s">
        <v>28</v>
      </c>
      <c r="F16" s="5">
        <v>19</v>
      </c>
      <c r="G16" s="5">
        <v>499</v>
      </c>
      <c r="H16" s="6">
        <f t="shared" si="0"/>
        <v>9481</v>
      </c>
    </row>
    <row r="17" spans="1:8" ht="15" customHeight="1" x14ac:dyDescent="0.2">
      <c r="A17" s="3" t="s">
        <v>58</v>
      </c>
      <c r="B17" s="3" t="s">
        <v>59</v>
      </c>
      <c r="C17" s="3" t="s">
        <v>21</v>
      </c>
      <c r="D17" s="3" t="s">
        <v>22</v>
      </c>
      <c r="E17" s="3" t="s">
        <v>32</v>
      </c>
      <c r="F17" s="3">
        <v>1</v>
      </c>
      <c r="G17" s="3">
        <v>2499</v>
      </c>
      <c r="H17" s="4">
        <f t="shared" si="0"/>
        <v>2499</v>
      </c>
    </row>
    <row r="18" spans="1:8" ht="15" customHeight="1" x14ac:dyDescent="0.2">
      <c r="A18" s="5" t="s">
        <v>60</v>
      </c>
      <c r="B18" s="5" t="s">
        <v>61</v>
      </c>
      <c r="C18" s="5" t="s">
        <v>26</v>
      </c>
      <c r="D18" s="5" t="s">
        <v>27</v>
      </c>
      <c r="E18" s="5" t="s">
        <v>13</v>
      </c>
      <c r="F18" s="5">
        <v>6</v>
      </c>
      <c r="G18" s="5">
        <v>1999</v>
      </c>
      <c r="H18" s="6">
        <f t="shared" si="0"/>
        <v>11994</v>
      </c>
    </row>
    <row r="19" spans="1:8" ht="15" customHeight="1" x14ac:dyDescent="0.2">
      <c r="A19" s="3" t="s">
        <v>62</v>
      </c>
      <c r="B19" s="3" t="s">
        <v>63</v>
      </c>
      <c r="C19" s="3" t="s">
        <v>11</v>
      </c>
      <c r="D19" s="3" t="s">
        <v>31</v>
      </c>
      <c r="E19" s="3" t="s">
        <v>18</v>
      </c>
      <c r="F19" s="3">
        <v>14</v>
      </c>
      <c r="G19" s="3">
        <v>499</v>
      </c>
      <c r="H19" s="4">
        <f t="shared" si="0"/>
        <v>6986</v>
      </c>
    </row>
    <row r="20" spans="1:8" ht="15" customHeight="1" x14ac:dyDescent="0.2">
      <c r="A20" s="5" t="s">
        <v>64</v>
      </c>
      <c r="B20" s="5" t="s">
        <v>65</v>
      </c>
      <c r="C20" s="5" t="s">
        <v>16</v>
      </c>
      <c r="D20" s="5" t="s">
        <v>35</v>
      </c>
      <c r="E20" s="5" t="s">
        <v>23</v>
      </c>
      <c r="F20" s="5">
        <v>9</v>
      </c>
      <c r="G20" s="5">
        <v>299</v>
      </c>
      <c r="H20" s="6">
        <f t="shared" si="0"/>
        <v>2691</v>
      </c>
    </row>
    <row r="21" spans="1:8" ht="15" customHeight="1" x14ac:dyDescent="0.2">
      <c r="A21" s="3" t="s">
        <v>66</v>
      </c>
      <c r="B21" s="3" t="s">
        <v>67</v>
      </c>
      <c r="C21" s="3" t="s">
        <v>21</v>
      </c>
      <c r="D21" s="3" t="s">
        <v>38</v>
      </c>
      <c r="E21" s="3" t="s">
        <v>28</v>
      </c>
      <c r="F21" s="3">
        <v>7</v>
      </c>
      <c r="G21" s="3">
        <v>2499</v>
      </c>
      <c r="H21" s="4">
        <f t="shared" si="0"/>
        <v>17493</v>
      </c>
    </row>
    <row r="22" spans="1:8" ht="15" customHeight="1" x14ac:dyDescent="0.2">
      <c r="A22" s="5" t="s">
        <v>68</v>
      </c>
      <c r="B22" s="5" t="s">
        <v>69</v>
      </c>
      <c r="C22" s="5" t="s">
        <v>26</v>
      </c>
      <c r="D22" s="5" t="s">
        <v>41</v>
      </c>
      <c r="E22" s="5" t="s">
        <v>32</v>
      </c>
      <c r="F22" s="5">
        <v>11</v>
      </c>
      <c r="G22" s="5">
        <v>199</v>
      </c>
      <c r="H22" s="6">
        <f t="shared" si="0"/>
        <v>2189</v>
      </c>
    </row>
    <row r="23" spans="1:8" ht="15" customHeight="1" x14ac:dyDescent="0.2">
      <c r="A23" s="3" t="s">
        <v>70</v>
      </c>
      <c r="B23" s="3" t="s">
        <v>71</v>
      </c>
      <c r="C23" s="3" t="s">
        <v>11</v>
      </c>
      <c r="D23" s="3" t="s">
        <v>44</v>
      </c>
      <c r="E23" s="3" t="s">
        <v>13</v>
      </c>
      <c r="F23" s="3">
        <v>3</v>
      </c>
      <c r="G23" s="3">
        <v>999</v>
      </c>
      <c r="H23" s="4">
        <f t="shared" si="0"/>
        <v>2997</v>
      </c>
    </row>
    <row r="24" spans="1:8" ht="15" customHeight="1" x14ac:dyDescent="0.2">
      <c r="A24" s="5" t="s">
        <v>72</v>
      </c>
      <c r="B24" s="5" t="s">
        <v>73</v>
      </c>
      <c r="C24" s="5" t="s">
        <v>16</v>
      </c>
      <c r="D24" s="5" t="s">
        <v>47</v>
      </c>
      <c r="E24" s="5" t="s">
        <v>18</v>
      </c>
      <c r="F24" s="5">
        <v>4</v>
      </c>
      <c r="G24" s="5">
        <v>499</v>
      </c>
      <c r="H24" s="6">
        <f t="shared" si="0"/>
        <v>1996</v>
      </c>
    </row>
    <row r="25" spans="1:8" ht="15" customHeight="1" x14ac:dyDescent="0.2">
      <c r="A25" s="3" t="s">
        <v>74</v>
      </c>
      <c r="B25" s="3" t="s">
        <v>75</v>
      </c>
      <c r="C25" s="3" t="s">
        <v>21</v>
      </c>
      <c r="D25" s="3" t="s">
        <v>50</v>
      </c>
      <c r="E25" s="3" t="s">
        <v>23</v>
      </c>
      <c r="F25" s="3">
        <v>12</v>
      </c>
      <c r="G25" s="3">
        <v>1499</v>
      </c>
      <c r="H25" s="4">
        <f t="shared" si="0"/>
        <v>17988</v>
      </c>
    </row>
    <row r="26" spans="1:8" ht="15" customHeight="1" x14ac:dyDescent="0.2">
      <c r="A26" s="5" t="s">
        <v>76</v>
      </c>
      <c r="B26" s="5" t="s">
        <v>77</v>
      </c>
      <c r="C26" s="5" t="s">
        <v>26</v>
      </c>
      <c r="D26" s="5" t="s">
        <v>53</v>
      </c>
      <c r="E26" s="5" t="s">
        <v>28</v>
      </c>
      <c r="F26" s="5">
        <v>9</v>
      </c>
      <c r="G26" s="5">
        <v>2499</v>
      </c>
      <c r="H26" s="6">
        <f t="shared" si="0"/>
        <v>22491</v>
      </c>
    </row>
    <row r="27" spans="1:8" ht="15" customHeight="1" x14ac:dyDescent="0.2">
      <c r="A27" s="3" t="s">
        <v>78</v>
      </c>
      <c r="B27" s="3" t="s">
        <v>79</v>
      </c>
      <c r="C27" s="3" t="s">
        <v>11</v>
      </c>
      <c r="D27" s="3" t="s">
        <v>12</v>
      </c>
      <c r="E27" s="3" t="s">
        <v>32</v>
      </c>
      <c r="F27" s="3">
        <v>2</v>
      </c>
      <c r="G27" s="3">
        <v>1999</v>
      </c>
      <c r="H27" s="4">
        <f t="shared" si="0"/>
        <v>3998</v>
      </c>
    </row>
    <row r="28" spans="1:8" ht="15" customHeight="1" x14ac:dyDescent="0.2">
      <c r="A28" s="5" t="s">
        <v>80</v>
      </c>
      <c r="B28" s="5" t="s">
        <v>81</v>
      </c>
      <c r="C28" s="5" t="s">
        <v>16</v>
      </c>
      <c r="D28" s="5" t="s">
        <v>17</v>
      </c>
      <c r="E28" s="5" t="s">
        <v>13</v>
      </c>
      <c r="F28" s="5">
        <v>15</v>
      </c>
      <c r="G28" s="5">
        <v>1499</v>
      </c>
      <c r="H28" s="6">
        <f t="shared" si="0"/>
        <v>22485</v>
      </c>
    </row>
    <row r="29" spans="1:8" ht="15" customHeight="1" x14ac:dyDescent="0.2">
      <c r="A29" s="3" t="s">
        <v>82</v>
      </c>
      <c r="B29" s="3" t="s">
        <v>83</v>
      </c>
      <c r="C29" s="3" t="s">
        <v>21</v>
      </c>
      <c r="D29" s="3" t="s">
        <v>22</v>
      </c>
      <c r="E29" s="3" t="s">
        <v>18</v>
      </c>
      <c r="F29" s="3">
        <v>4</v>
      </c>
      <c r="G29" s="3">
        <v>999</v>
      </c>
      <c r="H29" s="4">
        <f t="shared" si="0"/>
        <v>3996</v>
      </c>
    </row>
    <row r="30" spans="1:8" ht="15" customHeight="1" x14ac:dyDescent="0.2">
      <c r="A30" s="5" t="s">
        <v>84</v>
      </c>
      <c r="B30" s="5" t="s">
        <v>85</v>
      </c>
      <c r="C30" s="5" t="s">
        <v>26</v>
      </c>
      <c r="D30" s="5" t="s">
        <v>27</v>
      </c>
      <c r="E30" s="5" t="s">
        <v>23</v>
      </c>
      <c r="F30" s="5">
        <v>3</v>
      </c>
      <c r="G30" s="5">
        <v>1499</v>
      </c>
      <c r="H30" s="6">
        <f t="shared" si="0"/>
        <v>4497</v>
      </c>
    </row>
    <row r="31" spans="1:8" ht="15" customHeight="1" x14ac:dyDescent="0.2">
      <c r="A31" s="3" t="s">
        <v>86</v>
      </c>
      <c r="B31" s="3" t="s">
        <v>87</v>
      </c>
      <c r="C31" s="3" t="s">
        <v>11</v>
      </c>
      <c r="D31" s="3" t="s">
        <v>31</v>
      </c>
      <c r="E31" s="3" t="s">
        <v>28</v>
      </c>
      <c r="F31" s="3">
        <v>10</v>
      </c>
      <c r="G31" s="3">
        <v>2499</v>
      </c>
      <c r="H31" s="4">
        <f t="shared" si="0"/>
        <v>24990</v>
      </c>
    </row>
    <row r="32" spans="1:8" ht="15" customHeight="1" x14ac:dyDescent="0.2">
      <c r="A32" s="5" t="s">
        <v>88</v>
      </c>
      <c r="B32" s="5" t="s">
        <v>89</v>
      </c>
      <c r="C32" s="5" t="s">
        <v>16</v>
      </c>
      <c r="D32" s="5" t="s">
        <v>35</v>
      </c>
      <c r="E32" s="5" t="s">
        <v>32</v>
      </c>
      <c r="F32" s="5">
        <v>20</v>
      </c>
      <c r="G32" s="5">
        <v>2499</v>
      </c>
      <c r="H32" s="6">
        <f t="shared" si="0"/>
        <v>49980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N37"/>
  <sheetViews>
    <sheetView zoomScaleNormal="100" workbookViewId="0">
      <selection activeCell="N7" sqref="N7"/>
    </sheetView>
  </sheetViews>
  <sheetFormatPr defaultColWidth="8.7421875" defaultRowHeight="15" x14ac:dyDescent="0.2"/>
  <cols>
    <col min="1" max="1" width="11.97265625" style="1" customWidth="1"/>
    <col min="2" max="2" width="18.0234375" style="1" customWidth="1"/>
    <col min="3" max="3" width="9.953125" style="1" customWidth="1"/>
    <col min="4" max="4" width="16.0078125" style="1" customWidth="1"/>
    <col min="5" max="5" width="11.97265625" style="1" customWidth="1"/>
    <col min="6" max="6" width="16.0078125" style="1" customWidth="1"/>
    <col min="7" max="10" width="13.98828125" style="1" customWidth="1"/>
    <col min="11" max="11" width="11.97265625" style="1" customWidth="1"/>
    <col min="13" max="13" width="13.85546875" customWidth="1"/>
    <col min="14" max="14" width="16.54296875" customWidth="1"/>
  </cols>
  <sheetData>
    <row r="1" spans="1:14" ht="27.75" customHeight="1" x14ac:dyDescent="0.2">
      <c r="A1" s="46" t="s">
        <v>90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4" ht="34.5" customHeight="1" x14ac:dyDescent="0.2">
      <c r="A2" s="2" t="s">
        <v>1</v>
      </c>
      <c r="B2" s="2" t="s">
        <v>2</v>
      </c>
      <c r="C2" s="2" t="s">
        <v>3</v>
      </c>
      <c r="D2" s="2" t="s">
        <v>8</v>
      </c>
      <c r="E2" s="2" t="s">
        <v>6</v>
      </c>
      <c r="F2" s="2" t="s">
        <v>91</v>
      </c>
      <c r="G2" s="2" t="s">
        <v>92</v>
      </c>
      <c r="H2" s="2" t="s">
        <v>93</v>
      </c>
      <c r="I2" s="2" t="s">
        <v>94</v>
      </c>
      <c r="J2" s="2" t="s">
        <v>95</v>
      </c>
      <c r="K2" s="2" t="s">
        <v>96</v>
      </c>
    </row>
    <row r="3" spans="1:14" ht="15" customHeight="1" x14ac:dyDescent="0.2">
      <c r="A3" s="7" t="s">
        <v>9</v>
      </c>
      <c r="B3" s="7" t="s">
        <v>10</v>
      </c>
      <c r="C3" s="7" t="s">
        <v>11</v>
      </c>
      <c r="D3" s="8">
        <f>'Raw Data'!H3</f>
        <v>796</v>
      </c>
      <c r="E3" s="7">
        <f>'Raw Data'!F3</f>
        <v>4</v>
      </c>
      <c r="F3" s="9">
        <f t="shared" ref="F3:F32" si="0">IFERROR(D3/E3,0)</f>
        <v>199</v>
      </c>
      <c r="G3" s="7">
        <v>5</v>
      </c>
      <c r="H3" s="7">
        <v>8</v>
      </c>
      <c r="I3" s="7">
        <f>RANK(D3,'RFM Analysis'!$D$3:$D$32,1)</f>
        <v>2</v>
      </c>
      <c r="J3" s="7">
        <f t="shared" ref="J3:J32" si="1">G3+H3+I3</f>
        <v>15</v>
      </c>
      <c r="K3" s="7" t="str">
        <f t="shared" ref="K3:K32" si="2">IF(J3&gt;=18,"High Value",IF(J3&gt;=10,"Mid Value","Low Value"))</f>
        <v>Mid Value</v>
      </c>
      <c r="M3" s="44" t="s">
        <v>193</v>
      </c>
      <c r="N3" s="44"/>
    </row>
    <row r="4" spans="1:14" ht="15" customHeight="1" x14ac:dyDescent="0.2">
      <c r="A4" s="10" t="s">
        <v>14</v>
      </c>
      <c r="B4" s="10" t="s">
        <v>15</v>
      </c>
      <c r="C4" s="10" t="s">
        <v>16</v>
      </c>
      <c r="D4" s="11">
        <f>'Raw Data'!H4</f>
        <v>2691</v>
      </c>
      <c r="E4" s="10">
        <f>'Raw Data'!F4</f>
        <v>9</v>
      </c>
      <c r="F4" s="12">
        <f t="shared" si="0"/>
        <v>299</v>
      </c>
      <c r="G4" s="10">
        <v>2</v>
      </c>
      <c r="H4" s="10">
        <v>3</v>
      </c>
      <c r="I4" s="10">
        <f>RANK(D4,'RFM Analysis'!$D$3:$D$32,1)</f>
        <v>8</v>
      </c>
      <c r="J4" s="10">
        <f t="shared" si="1"/>
        <v>13</v>
      </c>
      <c r="K4" s="10" t="str">
        <f t="shared" si="2"/>
        <v>Mid Value</v>
      </c>
      <c r="M4" s="32" t="s">
        <v>189</v>
      </c>
      <c r="N4" s="32" t="s">
        <v>70</v>
      </c>
    </row>
    <row r="5" spans="1:14" ht="15" customHeight="1" x14ac:dyDescent="0.2">
      <c r="A5" s="13" t="s">
        <v>19</v>
      </c>
      <c r="B5" s="13" t="s">
        <v>20</v>
      </c>
      <c r="C5" s="13" t="s">
        <v>21</v>
      </c>
      <c r="D5" s="14">
        <f>'Raw Data'!H5</f>
        <v>2392</v>
      </c>
      <c r="E5" s="13">
        <f>'Raw Data'!F5</f>
        <v>8</v>
      </c>
      <c r="F5" s="15">
        <f t="shared" si="0"/>
        <v>299</v>
      </c>
      <c r="G5" s="13">
        <v>4</v>
      </c>
      <c r="H5" s="13">
        <v>6</v>
      </c>
      <c r="I5" s="13">
        <f>RANK(D5,'RFM Analysis'!$D$3:$D$32,1)</f>
        <v>6</v>
      </c>
      <c r="J5" s="13">
        <f t="shared" si="1"/>
        <v>16</v>
      </c>
      <c r="K5" s="13" t="str">
        <f t="shared" si="2"/>
        <v>Mid Value</v>
      </c>
      <c r="M5" s="32" t="s">
        <v>190</v>
      </c>
      <c r="N5" s="32" t="str">
        <f>VLOOKUP(N4,A2:K32,2,FALSE)</f>
        <v>Sanjay Ghosh</v>
      </c>
    </row>
    <row r="6" spans="1:14" ht="15" customHeight="1" x14ac:dyDescent="0.2">
      <c r="A6" s="10" t="s">
        <v>24</v>
      </c>
      <c r="B6" s="10" t="s">
        <v>25</v>
      </c>
      <c r="C6" s="10" t="s">
        <v>26</v>
      </c>
      <c r="D6" s="11">
        <f>'Raw Data'!H6</f>
        <v>7996</v>
      </c>
      <c r="E6" s="10">
        <f>'Raw Data'!F6</f>
        <v>4</v>
      </c>
      <c r="F6" s="12">
        <f t="shared" si="0"/>
        <v>1999</v>
      </c>
      <c r="G6" s="10">
        <v>3</v>
      </c>
      <c r="H6" s="10">
        <v>4</v>
      </c>
      <c r="I6" s="10">
        <f>RANK(D6,'RFM Analysis'!$D$3:$D$32,1)</f>
        <v>19</v>
      </c>
      <c r="J6" s="10">
        <f t="shared" si="1"/>
        <v>26</v>
      </c>
      <c r="K6" s="10" t="str">
        <f t="shared" si="2"/>
        <v>High Value</v>
      </c>
      <c r="M6" s="32" t="s">
        <v>3</v>
      </c>
      <c r="N6" s="32" t="str">
        <f>VLOOKUP(N4,A2:K32,3,FALSE)</f>
        <v>North</v>
      </c>
    </row>
    <row r="7" spans="1:14" ht="15" customHeight="1" x14ac:dyDescent="0.2">
      <c r="A7" s="7" t="s">
        <v>29</v>
      </c>
      <c r="B7" s="7" t="s">
        <v>30</v>
      </c>
      <c r="C7" s="7" t="s">
        <v>11</v>
      </c>
      <c r="D7" s="8">
        <f>'Raw Data'!H7</f>
        <v>3582</v>
      </c>
      <c r="E7" s="7">
        <f>'Raw Data'!F7</f>
        <v>18</v>
      </c>
      <c r="F7" s="9">
        <f t="shared" si="0"/>
        <v>199</v>
      </c>
      <c r="G7" s="7">
        <v>5</v>
      </c>
      <c r="H7" s="7">
        <v>9</v>
      </c>
      <c r="I7" s="7">
        <f>RANK(D7,'RFM Analysis'!$D$3:$D$32,1)</f>
        <v>11</v>
      </c>
      <c r="J7" s="7">
        <f t="shared" si="1"/>
        <v>25</v>
      </c>
      <c r="K7" s="7" t="str">
        <f t="shared" si="2"/>
        <v>High Value</v>
      </c>
      <c r="M7" s="32" t="s">
        <v>134</v>
      </c>
      <c r="N7" s="32">
        <f>VLOOKUP(N4,A2:K32,4,FALSE)</f>
        <v>2997</v>
      </c>
    </row>
    <row r="8" spans="1:14" ht="15" customHeight="1" x14ac:dyDescent="0.2">
      <c r="A8" s="10" t="s">
        <v>33</v>
      </c>
      <c r="B8" s="10" t="s">
        <v>34</v>
      </c>
      <c r="C8" s="10" t="s">
        <v>16</v>
      </c>
      <c r="D8" s="11">
        <f>'Raw Data'!H8</f>
        <v>18981</v>
      </c>
      <c r="E8" s="10">
        <f>'Raw Data'!F8</f>
        <v>19</v>
      </c>
      <c r="F8" s="12">
        <f t="shared" si="0"/>
        <v>999</v>
      </c>
      <c r="G8" s="10">
        <v>1</v>
      </c>
      <c r="H8" s="10">
        <v>2</v>
      </c>
      <c r="I8" s="10">
        <f>RANK(D8,'RFM Analysis'!$D$3:$D$32,1)</f>
        <v>26</v>
      </c>
      <c r="J8" s="10">
        <f t="shared" si="1"/>
        <v>29</v>
      </c>
      <c r="K8" s="10" t="str">
        <f t="shared" si="2"/>
        <v>High Value</v>
      </c>
      <c r="M8" s="32" t="s">
        <v>191</v>
      </c>
      <c r="N8" s="32">
        <f>VLOOKUP(N4,A2:K32,5,FALSE)</f>
        <v>3</v>
      </c>
    </row>
    <row r="9" spans="1:14" ht="15" customHeight="1" x14ac:dyDescent="0.2">
      <c r="A9" s="13" t="s">
        <v>36</v>
      </c>
      <c r="B9" s="13" t="s">
        <v>37</v>
      </c>
      <c r="C9" s="13" t="s">
        <v>21</v>
      </c>
      <c r="D9" s="14">
        <f>'Raw Data'!H9</f>
        <v>398</v>
      </c>
      <c r="E9" s="13">
        <f>'Raw Data'!F9</f>
        <v>2</v>
      </c>
      <c r="F9" s="15">
        <f t="shared" si="0"/>
        <v>199</v>
      </c>
      <c r="G9" s="13">
        <v>4</v>
      </c>
      <c r="H9" s="13">
        <v>7</v>
      </c>
      <c r="I9" s="13">
        <f>RANK(D9,'RFM Analysis'!$D$3:$D$32,1)</f>
        <v>1</v>
      </c>
      <c r="J9" s="13">
        <f t="shared" si="1"/>
        <v>12</v>
      </c>
      <c r="K9" s="13" t="str">
        <f t="shared" si="2"/>
        <v>Mid Value</v>
      </c>
      <c r="M9" s="32" t="s">
        <v>192</v>
      </c>
      <c r="N9" s="32">
        <f>VLOOKUP(N4,A2:K32,10,FALSE)</f>
        <v>17</v>
      </c>
    </row>
    <row r="10" spans="1:14" ht="15" customHeight="1" x14ac:dyDescent="0.2">
      <c r="A10" s="10" t="s">
        <v>39</v>
      </c>
      <c r="B10" s="10" t="s">
        <v>40</v>
      </c>
      <c r="C10" s="10" t="s">
        <v>26</v>
      </c>
      <c r="D10" s="11">
        <f>'Raw Data'!H10</f>
        <v>897</v>
      </c>
      <c r="E10" s="10">
        <f>'Raw Data'!F10</f>
        <v>3</v>
      </c>
      <c r="F10" s="12">
        <f t="shared" si="0"/>
        <v>299</v>
      </c>
      <c r="G10" s="10">
        <v>2</v>
      </c>
      <c r="H10" s="10">
        <v>3</v>
      </c>
      <c r="I10" s="10">
        <f>RANK(D10,'RFM Analysis'!$D$3:$D$32,1)</f>
        <v>3</v>
      </c>
      <c r="J10" s="10">
        <f t="shared" si="1"/>
        <v>8</v>
      </c>
      <c r="K10" s="10" t="str">
        <f t="shared" si="2"/>
        <v>Low Value</v>
      </c>
    </row>
    <row r="11" spans="1:14" ht="15" customHeight="1" x14ac:dyDescent="0.2">
      <c r="A11" s="13" t="s">
        <v>42</v>
      </c>
      <c r="B11" s="13" t="s">
        <v>43</v>
      </c>
      <c r="C11" s="13" t="s">
        <v>11</v>
      </c>
      <c r="D11" s="14">
        <f>'Raw Data'!H11</f>
        <v>11992</v>
      </c>
      <c r="E11" s="13">
        <f>'Raw Data'!F11</f>
        <v>8</v>
      </c>
      <c r="F11" s="15">
        <f t="shared" si="0"/>
        <v>1499</v>
      </c>
      <c r="G11" s="13">
        <v>3</v>
      </c>
      <c r="H11" s="13">
        <v>5</v>
      </c>
      <c r="I11" s="13">
        <f>RANK(D11,'RFM Analysis'!$D$3:$D$32,1)</f>
        <v>21</v>
      </c>
      <c r="J11" s="13">
        <f t="shared" si="1"/>
        <v>29</v>
      </c>
      <c r="K11" s="13" t="str">
        <f t="shared" si="2"/>
        <v>High Value</v>
      </c>
    </row>
    <row r="12" spans="1:14" ht="15" customHeight="1" x14ac:dyDescent="0.2">
      <c r="A12" s="7" t="s">
        <v>45</v>
      </c>
      <c r="B12" s="7" t="s">
        <v>46</v>
      </c>
      <c r="C12" s="7" t="s">
        <v>16</v>
      </c>
      <c r="D12" s="8">
        <f>'Raw Data'!H12</f>
        <v>3980</v>
      </c>
      <c r="E12" s="7">
        <f>'Raw Data'!F12</f>
        <v>20</v>
      </c>
      <c r="F12" s="9">
        <f t="shared" si="0"/>
        <v>199</v>
      </c>
      <c r="G12" s="7">
        <v>5</v>
      </c>
      <c r="H12" s="7">
        <v>8</v>
      </c>
      <c r="I12" s="7">
        <f>RANK(D12,'RFM Analysis'!$D$3:$D$32,1)</f>
        <v>12</v>
      </c>
      <c r="J12" s="7">
        <f t="shared" si="1"/>
        <v>25</v>
      </c>
      <c r="K12" s="7" t="str">
        <f t="shared" si="2"/>
        <v>High Value</v>
      </c>
    </row>
    <row r="13" spans="1:14" ht="15" customHeight="1" x14ac:dyDescent="0.2">
      <c r="A13" s="10" t="s">
        <v>48</v>
      </c>
      <c r="B13" s="10" t="s">
        <v>49</v>
      </c>
      <c r="C13" s="10" t="s">
        <v>21</v>
      </c>
      <c r="D13" s="11">
        <f>'Raw Data'!H13</f>
        <v>5382</v>
      </c>
      <c r="E13" s="10">
        <f>'Raw Data'!F13</f>
        <v>18</v>
      </c>
      <c r="F13" s="12">
        <f t="shared" si="0"/>
        <v>299</v>
      </c>
      <c r="G13" s="10">
        <v>2</v>
      </c>
      <c r="H13" s="10">
        <v>3</v>
      </c>
      <c r="I13" s="10">
        <f>RANK(D13,'RFM Analysis'!$D$3:$D$32,1)</f>
        <v>16</v>
      </c>
      <c r="J13" s="10">
        <f t="shared" si="1"/>
        <v>21</v>
      </c>
      <c r="K13" s="10" t="str">
        <f t="shared" si="2"/>
        <v>High Value</v>
      </c>
    </row>
    <row r="14" spans="1:14" ht="15" customHeight="1" x14ac:dyDescent="0.2">
      <c r="A14" s="13" t="s">
        <v>51</v>
      </c>
      <c r="B14" s="13" t="s">
        <v>52</v>
      </c>
      <c r="C14" s="13" t="s">
        <v>26</v>
      </c>
      <c r="D14" s="14">
        <f>'Raw Data'!H14</f>
        <v>17982</v>
      </c>
      <c r="E14" s="13">
        <f>'Raw Data'!F14</f>
        <v>18</v>
      </c>
      <c r="F14" s="15">
        <f t="shared" si="0"/>
        <v>999</v>
      </c>
      <c r="G14" s="13">
        <v>4</v>
      </c>
      <c r="H14" s="13">
        <v>7</v>
      </c>
      <c r="I14" s="13">
        <f>RANK(D14,'RFM Analysis'!$D$3:$D$32,1)</f>
        <v>24</v>
      </c>
      <c r="J14" s="13">
        <f t="shared" si="1"/>
        <v>35</v>
      </c>
      <c r="K14" s="13" t="str">
        <f t="shared" si="2"/>
        <v>High Value</v>
      </c>
    </row>
    <row r="15" spans="1:14" ht="15" customHeight="1" x14ac:dyDescent="0.2">
      <c r="A15" s="10" t="s">
        <v>54</v>
      </c>
      <c r="B15" s="10" t="s">
        <v>55</v>
      </c>
      <c r="C15" s="10" t="s">
        <v>11</v>
      </c>
      <c r="D15" s="11">
        <f>'Raw Data'!H15</f>
        <v>7992</v>
      </c>
      <c r="E15" s="10">
        <f>'Raw Data'!F15</f>
        <v>8</v>
      </c>
      <c r="F15" s="12">
        <f t="shared" si="0"/>
        <v>999</v>
      </c>
      <c r="G15" s="10">
        <v>3</v>
      </c>
      <c r="H15" s="10">
        <v>4</v>
      </c>
      <c r="I15" s="10">
        <f>RANK(D15,'RFM Analysis'!$D$3:$D$32,1)</f>
        <v>18</v>
      </c>
      <c r="J15" s="10">
        <f t="shared" si="1"/>
        <v>25</v>
      </c>
      <c r="K15" s="10" t="str">
        <f t="shared" si="2"/>
        <v>High Value</v>
      </c>
    </row>
    <row r="16" spans="1:14" ht="15" customHeight="1" x14ac:dyDescent="0.2">
      <c r="A16" s="10" t="s">
        <v>56</v>
      </c>
      <c r="B16" s="10" t="s">
        <v>57</v>
      </c>
      <c r="C16" s="10" t="s">
        <v>16</v>
      </c>
      <c r="D16" s="11">
        <f>'Raw Data'!H16</f>
        <v>9481</v>
      </c>
      <c r="E16" s="10">
        <f>'Raw Data'!F16</f>
        <v>19</v>
      </c>
      <c r="F16" s="12">
        <f t="shared" si="0"/>
        <v>499</v>
      </c>
      <c r="G16" s="10">
        <v>1</v>
      </c>
      <c r="H16" s="10">
        <v>2</v>
      </c>
      <c r="I16" s="10">
        <f>RANK(D16,'RFM Analysis'!$D$3:$D$32,1)</f>
        <v>20</v>
      </c>
      <c r="J16" s="10">
        <f t="shared" si="1"/>
        <v>23</v>
      </c>
      <c r="K16" s="10" t="str">
        <f t="shared" si="2"/>
        <v>High Value</v>
      </c>
    </row>
    <row r="17" spans="1:11" ht="15" customHeight="1" x14ac:dyDescent="0.2">
      <c r="A17" s="7" t="s">
        <v>58</v>
      </c>
      <c r="B17" s="7" t="s">
        <v>59</v>
      </c>
      <c r="C17" s="7" t="s">
        <v>21</v>
      </c>
      <c r="D17" s="8">
        <f>'Raw Data'!H17</f>
        <v>2499</v>
      </c>
      <c r="E17" s="7">
        <f>'Raw Data'!F17</f>
        <v>1</v>
      </c>
      <c r="F17" s="9">
        <f t="shared" si="0"/>
        <v>2499</v>
      </c>
      <c r="G17" s="7">
        <v>5</v>
      </c>
      <c r="H17" s="7">
        <v>9</v>
      </c>
      <c r="I17" s="7">
        <f>RANK(D17,'RFM Analysis'!$D$3:$D$32,1)</f>
        <v>7</v>
      </c>
      <c r="J17" s="7">
        <f t="shared" si="1"/>
        <v>21</v>
      </c>
      <c r="K17" s="7" t="str">
        <f t="shared" si="2"/>
        <v>High Value</v>
      </c>
    </row>
    <row r="18" spans="1:11" ht="15" customHeight="1" x14ac:dyDescent="0.2">
      <c r="A18" s="10" t="s">
        <v>60</v>
      </c>
      <c r="B18" s="10" t="s">
        <v>61</v>
      </c>
      <c r="C18" s="10" t="s">
        <v>26</v>
      </c>
      <c r="D18" s="11">
        <f>'Raw Data'!H18</f>
        <v>11994</v>
      </c>
      <c r="E18" s="10">
        <f>'Raw Data'!F18</f>
        <v>6</v>
      </c>
      <c r="F18" s="12">
        <f t="shared" si="0"/>
        <v>1999</v>
      </c>
      <c r="G18" s="10">
        <v>2</v>
      </c>
      <c r="H18" s="10">
        <v>3</v>
      </c>
      <c r="I18" s="10">
        <f>RANK(D18,'RFM Analysis'!$D$3:$D$32,1)</f>
        <v>22</v>
      </c>
      <c r="J18" s="10">
        <f t="shared" si="1"/>
        <v>27</v>
      </c>
      <c r="K18" s="10" t="str">
        <f t="shared" si="2"/>
        <v>High Value</v>
      </c>
    </row>
    <row r="19" spans="1:11" ht="15" customHeight="1" x14ac:dyDescent="0.2">
      <c r="A19" s="13" t="s">
        <v>62</v>
      </c>
      <c r="B19" s="13" t="s">
        <v>63</v>
      </c>
      <c r="C19" s="13" t="s">
        <v>11</v>
      </c>
      <c r="D19" s="14">
        <f>'Raw Data'!H19</f>
        <v>6986</v>
      </c>
      <c r="E19" s="13">
        <f>'Raw Data'!F19</f>
        <v>14</v>
      </c>
      <c r="F19" s="15">
        <f t="shared" si="0"/>
        <v>499</v>
      </c>
      <c r="G19" s="13">
        <v>4</v>
      </c>
      <c r="H19" s="13">
        <v>6</v>
      </c>
      <c r="I19" s="13">
        <f>RANK(D19,'RFM Analysis'!$D$3:$D$32,1)</f>
        <v>17</v>
      </c>
      <c r="J19" s="13">
        <f t="shared" si="1"/>
        <v>27</v>
      </c>
      <c r="K19" s="13" t="str">
        <f t="shared" si="2"/>
        <v>High Value</v>
      </c>
    </row>
    <row r="20" spans="1:11" ht="15" customHeight="1" x14ac:dyDescent="0.2">
      <c r="A20" s="10" t="s">
        <v>64</v>
      </c>
      <c r="B20" s="10" t="s">
        <v>65</v>
      </c>
      <c r="C20" s="10" t="s">
        <v>16</v>
      </c>
      <c r="D20" s="11">
        <f>'Raw Data'!H20</f>
        <v>2691</v>
      </c>
      <c r="E20" s="10">
        <f>'Raw Data'!F20</f>
        <v>9</v>
      </c>
      <c r="F20" s="12">
        <f t="shared" si="0"/>
        <v>299</v>
      </c>
      <c r="G20" s="10">
        <v>3</v>
      </c>
      <c r="H20" s="10">
        <v>4</v>
      </c>
      <c r="I20" s="10">
        <f>RANK(D20,'RFM Analysis'!$D$3:$D$32,1)</f>
        <v>8</v>
      </c>
      <c r="J20" s="10">
        <f t="shared" si="1"/>
        <v>15</v>
      </c>
      <c r="K20" s="10" t="str">
        <f t="shared" si="2"/>
        <v>Mid Value</v>
      </c>
    </row>
    <row r="21" spans="1:11" ht="15" customHeight="1" x14ac:dyDescent="0.2">
      <c r="A21" s="7" t="s">
        <v>66</v>
      </c>
      <c r="B21" s="7" t="s">
        <v>67</v>
      </c>
      <c r="C21" s="7" t="s">
        <v>21</v>
      </c>
      <c r="D21" s="8">
        <f>'Raw Data'!H21</f>
        <v>17493</v>
      </c>
      <c r="E21" s="7">
        <f>'Raw Data'!F21</f>
        <v>7</v>
      </c>
      <c r="F21" s="9">
        <f t="shared" si="0"/>
        <v>2499</v>
      </c>
      <c r="G21" s="7">
        <v>5</v>
      </c>
      <c r="H21" s="7">
        <v>8</v>
      </c>
      <c r="I21" s="7">
        <f>RANK(D21,'RFM Analysis'!$D$3:$D$32,1)</f>
        <v>23</v>
      </c>
      <c r="J21" s="7">
        <f t="shared" si="1"/>
        <v>36</v>
      </c>
      <c r="K21" s="7" t="str">
        <f t="shared" si="2"/>
        <v>High Value</v>
      </c>
    </row>
    <row r="22" spans="1:11" ht="15" customHeight="1" x14ac:dyDescent="0.2">
      <c r="A22" s="10" t="s">
        <v>68</v>
      </c>
      <c r="B22" s="10" t="s">
        <v>69</v>
      </c>
      <c r="C22" s="10" t="s">
        <v>26</v>
      </c>
      <c r="D22" s="11">
        <f>'Raw Data'!H22</f>
        <v>2189</v>
      </c>
      <c r="E22" s="10">
        <f>'Raw Data'!F22</f>
        <v>11</v>
      </c>
      <c r="F22" s="12">
        <f t="shared" si="0"/>
        <v>199</v>
      </c>
      <c r="G22" s="10">
        <v>1</v>
      </c>
      <c r="H22" s="10">
        <v>2</v>
      </c>
      <c r="I22" s="10">
        <f>RANK(D22,'RFM Analysis'!$D$3:$D$32,1)</f>
        <v>5</v>
      </c>
      <c r="J22" s="10">
        <f t="shared" si="1"/>
        <v>8</v>
      </c>
      <c r="K22" s="10" t="str">
        <f t="shared" si="2"/>
        <v>Low Value</v>
      </c>
    </row>
    <row r="23" spans="1:11" ht="15" customHeight="1" x14ac:dyDescent="0.2">
      <c r="A23" s="10" t="s">
        <v>70</v>
      </c>
      <c r="B23" s="10" t="s">
        <v>71</v>
      </c>
      <c r="C23" s="10" t="s">
        <v>11</v>
      </c>
      <c r="D23" s="11">
        <f>'Raw Data'!H23</f>
        <v>2997</v>
      </c>
      <c r="E23" s="10">
        <f>'Raw Data'!F23</f>
        <v>3</v>
      </c>
      <c r="F23" s="12">
        <f t="shared" si="0"/>
        <v>999</v>
      </c>
      <c r="G23" s="10">
        <v>3</v>
      </c>
      <c r="H23" s="10">
        <v>4</v>
      </c>
      <c r="I23" s="10">
        <f>RANK(D23,'RFM Analysis'!$D$3:$D$32,1)</f>
        <v>10</v>
      </c>
      <c r="J23" s="10">
        <f t="shared" si="1"/>
        <v>17</v>
      </c>
      <c r="K23" s="10" t="str">
        <f t="shared" si="2"/>
        <v>Mid Value</v>
      </c>
    </row>
    <row r="24" spans="1:11" ht="15" customHeight="1" x14ac:dyDescent="0.2">
      <c r="A24" s="13" t="s">
        <v>72</v>
      </c>
      <c r="B24" s="13" t="s">
        <v>73</v>
      </c>
      <c r="C24" s="13" t="s">
        <v>16</v>
      </c>
      <c r="D24" s="14">
        <f>'Raw Data'!H24</f>
        <v>1996</v>
      </c>
      <c r="E24" s="13">
        <f>'Raw Data'!F24</f>
        <v>4</v>
      </c>
      <c r="F24" s="15">
        <f t="shared" si="0"/>
        <v>499</v>
      </c>
      <c r="G24" s="13">
        <v>4</v>
      </c>
      <c r="H24" s="13">
        <v>6</v>
      </c>
      <c r="I24" s="13">
        <f>RANK(D24,'RFM Analysis'!$D$3:$D$32,1)</f>
        <v>4</v>
      </c>
      <c r="J24" s="13">
        <f t="shared" si="1"/>
        <v>14</v>
      </c>
      <c r="K24" s="13" t="str">
        <f t="shared" si="2"/>
        <v>Mid Value</v>
      </c>
    </row>
    <row r="25" spans="1:11" ht="15" customHeight="1" x14ac:dyDescent="0.2">
      <c r="A25" s="10" t="s">
        <v>74</v>
      </c>
      <c r="B25" s="10" t="s">
        <v>75</v>
      </c>
      <c r="C25" s="10" t="s">
        <v>21</v>
      </c>
      <c r="D25" s="11">
        <f>'Raw Data'!H25</f>
        <v>17988</v>
      </c>
      <c r="E25" s="10">
        <f>'Raw Data'!F25</f>
        <v>12</v>
      </c>
      <c r="F25" s="12">
        <f t="shared" si="0"/>
        <v>1499</v>
      </c>
      <c r="G25" s="10">
        <v>2</v>
      </c>
      <c r="H25" s="10">
        <v>3</v>
      </c>
      <c r="I25" s="10">
        <f>RANK(D25,'RFM Analysis'!$D$3:$D$32,1)</f>
        <v>25</v>
      </c>
      <c r="J25" s="10">
        <f t="shared" si="1"/>
        <v>30</v>
      </c>
      <c r="K25" s="10" t="str">
        <f t="shared" si="2"/>
        <v>High Value</v>
      </c>
    </row>
    <row r="26" spans="1:11" ht="15" customHeight="1" x14ac:dyDescent="0.2">
      <c r="A26" s="7" t="s">
        <v>76</v>
      </c>
      <c r="B26" s="7" t="s">
        <v>77</v>
      </c>
      <c r="C26" s="7" t="s">
        <v>26</v>
      </c>
      <c r="D26" s="8">
        <f>'Raw Data'!H26</f>
        <v>22491</v>
      </c>
      <c r="E26" s="7">
        <f>'Raw Data'!F26</f>
        <v>9</v>
      </c>
      <c r="F26" s="9">
        <f t="shared" si="0"/>
        <v>2499</v>
      </c>
      <c r="G26" s="7">
        <v>5</v>
      </c>
      <c r="H26" s="7">
        <v>8</v>
      </c>
      <c r="I26" s="7">
        <f>RANK(D26,'RFM Analysis'!$D$3:$D$32,1)</f>
        <v>28</v>
      </c>
      <c r="J26" s="7">
        <f t="shared" si="1"/>
        <v>41</v>
      </c>
      <c r="K26" s="7" t="str">
        <f t="shared" si="2"/>
        <v>High Value</v>
      </c>
    </row>
    <row r="27" spans="1:11" ht="15" customHeight="1" x14ac:dyDescent="0.2">
      <c r="A27" s="10" t="s">
        <v>78</v>
      </c>
      <c r="B27" s="10" t="s">
        <v>79</v>
      </c>
      <c r="C27" s="10" t="s">
        <v>11</v>
      </c>
      <c r="D27" s="11">
        <f>'Raw Data'!H27</f>
        <v>3998</v>
      </c>
      <c r="E27" s="10">
        <f>'Raw Data'!F27</f>
        <v>2</v>
      </c>
      <c r="F27" s="12">
        <f t="shared" si="0"/>
        <v>1999</v>
      </c>
      <c r="G27" s="10">
        <v>1</v>
      </c>
      <c r="H27" s="10">
        <v>2</v>
      </c>
      <c r="I27" s="10">
        <f>RANK(D27,'RFM Analysis'!$D$3:$D$32,1)</f>
        <v>14</v>
      </c>
      <c r="J27" s="10">
        <f t="shared" si="1"/>
        <v>17</v>
      </c>
      <c r="K27" s="10" t="str">
        <f t="shared" si="2"/>
        <v>Mid Value</v>
      </c>
    </row>
    <row r="28" spans="1:11" ht="15" customHeight="1" x14ac:dyDescent="0.2">
      <c r="A28" s="13" t="s">
        <v>80</v>
      </c>
      <c r="B28" s="13" t="s">
        <v>81</v>
      </c>
      <c r="C28" s="13" t="s">
        <v>16</v>
      </c>
      <c r="D28" s="14">
        <f>'Raw Data'!H28</f>
        <v>22485</v>
      </c>
      <c r="E28" s="13">
        <f>'Raw Data'!F28</f>
        <v>15</v>
      </c>
      <c r="F28" s="15">
        <f t="shared" si="0"/>
        <v>1499</v>
      </c>
      <c r="G28" s="13">
        <v>4</v>
      </c>
      <c r="H28" s="13">
        <v>7</v>
      </c>
      <c r="I28" s="13">
        <f>RANK(D28,'RFM Analysis'!$D$3:$D$32,1)</f>
        <v>27</v>
      </c>
      <c r="J28" s="13">
        <f t="shared" si="1"/>
        <v>38</v>
      </c>
      <c r="K28" s="13" t="str">
        <f t="shared" si="2"/>
        <v>High Value</v>
      </c>
    </row>
    <row r="29" spans="1:11" ht="15" customHeight="1" x14ac:dyDescent="0.2">
      <c r="A29" s="10" t="s">
        <v>82</v>
      </c>
      <c r="B29" s="10" t="s">
        <v>83</v>
      </c>
      <c r="C29" s="10" t="s">
        <v>21</v>
      </c>
      <c r="D29" s="11">
        <f>'Raw Data'!H29</f>
        <v>3996</v>
      </c>
      <c r="E29" s="10">
        <f>'Raw Data'!F29</f>
        <v>4</v>
      </c>
      <c r="F29" s="12">
        <f t="shared" si="0"/>
        <v>999</v>
      </c>
      <c r="G29" s="10">
        <v>3</v>
      </c>
      <c r="H29" s="10">
        <v>4</v>
      </c>
      <c r="I29" s="10">
        <f>RANK(D29,'RFM Analysis'!$D$3:$D$32,1)</f>
        <v>13</v>
      </c>
      <c r="J29" s="10">
        <f t="shared" si="1"/>
        <v>20</v>
      </c>
      <c r="K29" s="10" t="str">
        <f t="shared" si="2"/>
        <v>High Value</v>
      </c>
    </row>
    <row r="30" spans="1:11" ht="15" customHeight="1" x14ac:dyDescent="0.2">
      <c r="A30" s="10" t="s">
        <v>84</v>
      </c>
      <c r="B30" s="10" t="s">
        <v>85</v>
      </c>
      <c r="C30" s="10" t="s">
        <v>26</v>
      </c>
      <c r="D30" s="11">
        <f>'Raw Data'!H30</f>
        <v>4497</v>
      </c>
      <c r="E30" s="10">
        <f>'Raw Data'!F30</f>
        <v>3</v>
      </c>
      <c r="F30" s="12">
        <f t="shared" si="0"/>
        <v>1499</v>
      </c>
      <c r="G30" s="10">
        <v>2</v>
      </c>
      <c r="H30" s="10">
        <v>3</v>
      </c>
      <c r="I30" s="10">
        <f>RANK(D30,'RFM Analysis'!$D$3:$D$32,1)</f>
        <v>15</v>
      </c>
      <c r="J30" s="10">
        <f t="shared" si="1"/>
        <v>20</v>
      </c>
      <c r="K30" s="10" t="str">
        <f t="shared" si="2"/>
        <v>High Value</v>
      </c>
    </row>
    <row r="31" spans="1:11" ht="15" customHeight="1" x14ac:dyDescent="0.2">
      <c r="A31" s="7" t="s">
        <v>86</v>
      </c>
      <c r="B31" s="7" t="s">
        <v>87</v>
      </c>
      <c r="C31" s="7" t="s">
        <v>11</v>
      </c>
      <c r="D31" s="8">
        <f>'Raw Data'!H31</f>
        <v>24990</v>
      </c>
      <c r="E31" s="7">
        <f>'Raw Data'!F31</f>
        <v>10</v>
      </c>
      <c r="F31" s="9">
        <f t="shared" si="0"/>
        <v>2499</v>
      </c>
      <c r="G31" s="7">
        <v>5</v>
      </c>
      <c r="H31" s="7">
        <v>9</v>
      </c>
      <c r="I31" s="7">
        <f>RANK(D31,'RFM Analysis'!$D$3:$D$32,1)</f>
        <v>29</v>
      </c>
      <c r="J31" s="7">
        <f t="shared" si="1"/>
        <v>43</v>
      </c>
      <c r="K31" s="7" t="str">
        <f t="shared" si="2"/>
        <v>High Value</v>
      </c>
    </row>
    <row r="32" spans="1:11" ht="15" customHeight="1" x14ac:dyDescent="0.2">
      <c r="A32" s="13" t="s">
        <v>88</v>
      </c>
      <c r="B32" s="13" t="s">
        <v>89</v>
      </c>
      <c r="C32" s="13" t="s">
        <v>16</v>
      </c>
      <c r="D32" s="14">
        <f>'Raw Data'!H32</f>
        <v>49980</v>
      </c>
      <c r="E32" s="13">
        <f>'Raw Data'!F32</f>
        <v>20</v>
      </c>
      <c r="F32" s="15">
        <f t="shared" si="0"/>
        <v>2499</v>
      </c>
      <c r="G32" s="13">
        <v>4</v>
      </c>
      <c r="H32" s="13">
        <v>6</v>
      </c>
      <c r="I32" s="13">
        <f>RANK(D32,'RFM Analysis'!$D$3:$D$32,1)</f>
        <v>30</v>
      </c>
      <c r="J32" s="13">
        <f t="shared" si="1"/>
        <v>40</v>
      </c>
      <c r="K32" s="13" t="str">
        <f t="shared" si="2"/>
        <v>High Value</v>
      </c>
    </row>
    <row r="34" spans="1:11" ht="15" customHeight="1" x14ac:dyDescent="0.2">
      <c r="A34" s="47" t="s">
        <v>97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</row>
    <row r="35" spans="1:11" ht="15" customHeight="1" x14ac:dyDescent="0.2">
      <c r="A35" s="48" t="s">
        <v>98</v>
      </c>
      <c r="B35" s="48"/>
      <c r="C35" s="48"/>
      <c r="D35" s="48" t="s">
        <v>99</v>
      </c>
      <c r="E35" s="48"/>
      <c r="F35" s="48"/>
      <c r="G35" s="48"/>
      <c r="H35" s="48"/>
      <c r="I35" s="48"/>
      <c r="J35" s="48"/>
      <c r="K35" s="48"/>
    </row>
    <row r="36" spans="1:11" ht="15" customHeight="1" x14ac:dyDescent="0.2">
      <c r="A36" s="49" t="s">
        <v>100</v>
      </c>
      <c r="B36" s="49"/>
      <c r="C36" s="49"/>
      <c r="D36" s="49" t="s">
        <v>101</v>
      </c>
      <c r="E36" s="49"/>
      <c r="F36" s="49"/>
      <c r="G36" s="49"/>
      <c r="H36" s="49"/>
      <c r="I36" s="49"/>
      <c r="J36" s="49"/>
      <c r="K36" s="49"/>
    </row>
    <row r="37" spans="1:11" ht="15" customHeight="1" x14ac:dyDescent="0.2">
      <c r="A37" s="45" t="s">
        <v>102</v>
      </c>
      <c r="B37" s="45"/>
      <c r="C37" s="45"/>
      <c r="D37" s="45" t="s">
        <v>103</v>
      </c>
      <c r="E37" s="45"/>
      <c r="F37" s="45"/>
      <c r="G37" s="45"/>
      <c r="H37" s="45"/>
      <c r="I37" s="45"/>
      <c r="J37" s="45"/>
      <c r="K37" s="45"/>
    </row>
  </sheetData>
  <mergeCells count="9">
    <mergeCell ref="M3:N3"/>
    <mergeCell ref="A37:C37"/>
    <mergeCell ref="D37:K37"/>
    <mergeCell ref="A1:K1"/>
    <mergeCell ref="A34:K34"/>
    <mergeCell ref="A35:C35"/>
    <mergeCell ref="D35:K35"/>
    <mergeCell ref="A36:C36"/>
    <mergeCell ref="D36:K36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F18"/>
  <sheetViews>
    <sheetView zoomScaleNormal="100" workbookViewId="0">
      <selection activeCell="D18" sqref="D18"/>
    </sheetView>
  </sheetViews>
  <sheetFormatPr defaultColWidth="8.7421875" defaultRowHeight="15" x14ac:dyDescent="0.2"/>
  <cols>
    <col min="1" max="1" width="25.9609375" style="1" customWidth="1"/>
    <col min="2" max="2" width="22.05859375" style="1" customWidth="1"/>
    <col min="3" max="3" width="18.0234375" style="1" customWidth="1"/>
    <col min="5" max="5" width="13.98828125" style="1" customWidth="1"/>
    <col min="6" max="6" width="16.0078125" style="1" customWidth="1"/>
  </cols>
  <sheetData>
    <row r="1" spans="1:6" ht="27.75" customHeight="1" x14ac:dyDescent="0.2">
      <c r="A1" s="46" t="s">
        <v>104</v>
      </c>
      <c r="B1" s="46"/>
      <c r="C1" s="46"/>
      <c r="D1" s="46"/>
      <c r="E1" s="46"/>
      <c r="F1" s="46"/>
    </row>
    <row r="2" spans="1:6" ht="24.75" customHeight="1" x14ac:dyDescent="0.2">
      <c r="A2" s="2" t="s">
        <v>105</v>
      </c>
      <c r="B2" s="2" t="s">
        <v>106</v>
      </c>
      <c r="C2" s="2" t="s">
        <v>107</v>
      </c>
      <c r="E2" s="50" t="s">
        <v>108</v>
      </c>
      <c r="F2" s="50"/>
    </row>
    <row r="3" spans="1:6" ht="15" customHeight="1" x14ac:dyDescent="0.2">
      <c r="A3" s="16" t="s">
        <v>109</v>
      </c>
      <c r="B3" s="17" t="s">
        <v>110</v>
      </c>
      <c r="C3" s="35">
        <f>COUNTA('Raw Data'!A3:A32)</f>
        <v>30</v>
      </c>
      <c r="E3" s="18" t="s">
        <v>11</v>
      </c>
      <c r="F3" s="19">
        <f>SUMIF('Raw Data'!C3:C32,"North",'Raw Data'!H3:H32)</f>
        <v>63333</v>
      </c>
    </row>
    <row r="4" spans="1:6" ht="15" customHeight="1" x14ac:dyDescent="0.2">
      <c r="A4" s="20" t="s">
        <v>8</v>
      </c>
      <c r="B4" s="21" t="s">
        <v>111</v>
      </c>
      <c r="C4" s="36">
        <f>SUM('Raw Data'!H3:H32)</f>
        <v>293812</v>
      </c>
      <c r="E4" s="18" t="s">
        <v>16</v>
      </c>
      <c r="F4" s="19">
        <f>SUMIF('Raw Data'!C3:C32,"South",'Raw Data'!H3:H32)</f>
        <v>112285</v>
      </c>
    </row>
    <row r="5" spans="1:6" ht="15" customHeight="1" x14ac:dyDescent="0.2">
      <c r="A5" s="16" t="s">
        <v>112</v>
      </c>
      <c r="B5" s="17" t="s">
        <v>113</v>
      </c>
      <c r="C5" s="37">
        <f>AVERAGE('Raw Data'!H3:H32)</f>
        <v>9793.7333333333336</v>
      </c>
      <c r="E5" s="18" t="s">
        <v>21</v>
      </c>
      <c r="F5" s="19">
        <f>SUMIF('Raw Data'!C3:C32,"East",'Raw Data'!H3:H32)</f>
        <v>50148</v>
      </c>
    </row>
    <row r="6" spans="1:6" ht="15" customHeight="1" x14ac:dyDescent="0.2">
      <c r="A6" s="20" t="s">
        <v>114</v>
      </c>
      <c r="B6" s="21" t="s">
        <v>115</v>
      </c>
      <c r="C6" s="36">
        <f>MAX('Raw Data'!H3:H32)</f>
        <v>49980</v>
      </c>
      <c r="E6" s="18" t="s">
        <v>26</v>
      </c>
      <c r="F6" s="19">
        <f>SUMIF('Raw Data'!C3:C32,"West",'Raw Data'!H3:H32)</f>
        <v>68046</v>
      </c>
    </row>
    <row r="7" spans="1:6" ht="15" customHeight="1" x14ac:dyDescent="0.2">
      <c r="A7" s="16" t="s">
        <v>116</v>
      </c>
      <c r="B7" s="17" t="s">
        <v>117</v>
      </c>
      <c r="C7" s="37">
        <f>MIN('Raw Data'!H3:H32)</f>
        <v>398</v>
      </c>
    </row>
    <row r="8" spans="1:6" ht="15" customHeight="1" x14ac:dyDescent="0.2">
      <c r="A8" s="20" t="s">
        <v>118</v>
      </c>
      <c r="B8" s="21" t="s">
        <v>119</v>
      </c>
      <c r="C8" s="36">
        <f>STDEV('Raw Data'!H3:H32)</f>
        <v>10634.021722537636</v>
      </c>
    </row>
    <row r="9" spans="1:6" ht="15" customHeight="1" x14ac:dyDescent="0.2">
      <c r="A9" s="16" t="s">
        <v>120</v>
      </c>
      <c r="B9" s="17" t="s">
        <v>121</v>
      </c>
      <c r="C9" s="35">
        <f>COUNTIF('RFM Analysis'!K3:K32,"High Value")</f>
        <v>20</v>
      </c>
    </row>
    <row r="10" spans="1:6" ht="15" customHeight="1" x14ac:dyDescent="0.2">
      <c r="A10" s="20" t="s">
        <v>122</v>
      </c>
      <c r="B10" s="21" t="s">
        <v>121</v>
      </c>
      <c r="C10" s="38">
        <f>COUNTIF('RFM Analysis'!K3:K32,"Mid Value")</f>
        <v>8</v>
      </c>
    </row>
    <row r="11" spans="1:6" ht="15" customHeight="1" x14ac:dyDescent="0.2">
      <c r="A11" s="16" t="s">
        <v>123</v>
      </c>
      <c r="B11" s="17" t="s">
        <v>121</v>
      </c>
      <c r="C11" s="35">
        <f>COUNTIF('RFM Analysis'!K3:K32,"Low Value")</f>
        <v>2</v>
      </c>
    </row>
    <row r="12" spans="1:6" ht="15" customHeight="1" x14ac:dyDescent="0.2">
      <c r="A12" s="20" t="s">
        <v>124</v>
      </c>
      <c r="B12" s="21" t="s">
        <v>125</v>
      </c>
      <c r="C12" s="36">
        <f>SUMIF('RFM Analysis'!K3:K32,"High Value",'RFM Analysis'!D3:D32)</f>
        <v>272767</v>
      </c>
    </row>
    <row r="13" spans="1:6" ht="15" customHeight="1" x14ac:dyDescent="0.2">
      <c r="A13" s="16" t="s">
        <v>126</v>
      </c>
      <c r="B13" s="17" t="s">
        <v>125</v>
      </c>
      <c r="C13" s="37">
        <f>SUMIF('RFM Analysis'!K3:K32,"Mid Value",'RFM Analysis'!D3:D32)</f>
        <v>17959</v>
      </c>
    </row>
    <row r="14" spans="1:6" ht="15" customHeight="1" x14ac:dyDescent="0.2">
      <c r="A14" s="20" t="s">
        <v>127</v>
      </c>
      <c r="B14" s="21" t="s">
        <v>125</v>
      </c>
      <c r="C14" s="36">
        <f>SUMIF('RFM Analysis'!K3:K32,"Low Value",'RFM Analysis'!D3:D32)</f>
        <v>3086</v>
      </c>
    </row>
    <row r="15" spans="1:6" ht="15" customHeight="1" x14ac:dyDescent="0.2">
      <c r="A15" s="16" t="s">
        <v>128</v>
      </c>
      <c r="B15" s="17" t="s">
        <v>129</v>
      </c>
      <c r="C15" s="39">
        <f>COUNTIF('RFM Analysis'!K3:K32,"High Value")/COUNTA('RFM Analysis'!K3:K32)</f>
        <v>0.66666666666666663</v>
      </c>
    </row>
    <row r="16" spans="1:6" ht="15" customHeight="1" x14ac:dyDescent="0.2">
      <c r="A16" s="20" t="s">
        <v>130</v>
      </c>
      <c r="B16" s="21" t="s">
        <v>131</v>
      </c>
      <c r="C16" s="38" t="s">
        <v>11</v>
      </c>
    </row>
    <row r="17" spans="1:3" ht="15" customHeight="1" x14ac:dyDescent="0.2">
      <c r="A17" s="16" t="s">
        <v>132</v>
      </c>
      <c r="B17" s="17" t="s">
        <v>113</v>
      </c>
      <c r="C17" s="35">
        <f>AVERAGE('Raw Data'!F3:F32)</f>
        <v>9.6</v>
      </c>
    </row>
    <row r="18" spans="1:3" x14ac:dyDescent="0.2">
      <c r="A18" s="33" t="s">
        <v>194</v>
      </c>
      <c r="B18" s="34" t="s">
        <v>195</v>
      </c>
      <c r="C18" s="40" t="str">
        <f>VLOOKUP('RFM Analysis'!N4,'RFM Analysis'!A2:K32,1,FALSE)</f>
        <v>C1021</v>
      </c>
    </row>
  </sheetData>
  <mergeCells count="2">
    <mergeCell ref="A1:F1"/>
    <mergeCell ref="E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X11"/>
  <sheetViews>
    <sheetView zoomScaleNormal="100" workbookViewId="0">
      <selection activeCell="J4" sqref="J4:L4"/>
    </sheetView>
  </sheetViews>
  <sheetFormatPr defaultColWidth="8.7421875" defaultRowHeight="15" x14ac:dyDescent="0.2"/>
  <cols>
    <col min="1" max="24" width="11.97265625" style="1" customWidth="1"/>
  </cols>
  <sheetData>
    <row r="1" spans="1:16" ht="34.5" customHeight="1" x14ac:dyDescent="0.2">
      <c r="A1" s="55" t="s">
        <v>133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3" spans="1:16" ht="21.75" customHeight="1" x14ac:dyDescent="0.2">
      <c r="A3" s="56" t="s">
        <v>109</v>
      </c>
      <c r="B3" s="56"/>
      <c r="C3" s="56"/>
      <c r="D3" s="57" t="s">
        <v>134</v>
      </c>
      <c r="E3" s="57"/>
      <c r="F3" s="57"/>
      <c r="G3" s="58" t="s">
        <v>135</v>
      </c>
      <c r="H3" s="58"/>
      <c r="I3" s="58"/>
      <c r="J3" s="59" t="s">
        <v>136</v>
      </c>
      <c r="K3" s="59"/>
      <c r="L3" s="59"/>
    </row>
    <row r="4" spans="1:16" ht="30" customHeight="1" x14ac:dyDescent="0.2">
      <c r="A4" s="51">
        <f>'Summary Stats'!C3</f>
        <v>30</v>
      </c>
      <c r="B4" s="51"/>
      <c r="C4" s="51"/>
      <c r="D4" s="52">
        <f>'Summary Stats'!C4</f>
        <v>293812</v>
      </c>
      <c r="E4" s="52"/>
      <c r="F4" s="52"/>
      <c r="G4" s="53">
        <f>'Summary Stats'!C5</f>
        <v>9793.7333333333336</v>
      </c>
      <c r="H4" s="53"/>
      <c r="I4" s="53"/>
      <c r="J4" s="54">
        <f>'Summary Stats'!C9</f>
        <v>20</v>
      </c>
      <c r="K4" s="54"/>
      <c r="L4" s="54"/>
    </row>
    <row r="6" spans="1:16" x14ac:dyDescent="0.2">
      <c r="O6" s="1" t="s">
        <v>3</v>
      </c>
      <c r="P6" s="1" t="s">
        <v>138</v>
      </c>
    </row>
    <row r="7" spans="1:16" ht="15" customHeight="1" x14ac:dyDescent="0.2">
      <c r="C7" s="1" t="s">
        <v>96</v>
      </c>
      <c r="D7" s="1" t="s">
        <v>137</v>
      </c>
      <c r="I7" s="1" t="s">
        <v>96</v>
      </c>
      <c r="J7" s="1" t="s">
        <v>138</v>
      </c>
      <c r="O7" s="1" t="s">
        <v>11</v>
      </c>
      <c r="P7" s="22">
        <f>'Summary Stats'!F3</f>
        <v>63333</v>
      </c>
    </row>
    <row r="8" spans="1:16" ht="15" customHeight="1" x14ac:dyDescent="0.2">
      <c r="C8" s="1" t="s">
        <v>98</v>
      </c>
      <c r="D8" s="1">
        <f>'Summary Stats'!C9</f>
        <v>20</v>
      </c>
      <c r="I8" s="1" t="s">
        <v>98</v>
      </c>
      <c r="J8" s="22">
        <f>'Summary Stats'!C12</f>
        <v>272767</v>
      </c>
      <c r="O8" s="1" t="s">
        <v>16</v>
      </c>
      <c r="P8" s="22">
        <f>'Summary Stats'!F4</f>
        <v>112285</v>
      </c>
    </row>
    <row r="9" spans="1:16" ht="15" customHeight="1" x14ac:dyDescent="0.2">
      <c r="C9" s="1" t="s">
        <v>100</v>
      </c>
      <c r="D9" s="1">
        <f>'Summary Stats'!C10</f>
        <v>8</v>
      </c>
      <c r="I9" s="1" t="s">
        <v>100</v>
      </c>
      <c r="J9" s="22">
        <f>'Summary Stats'!C13</f>
        <v>17959</v>
      </c>
      <c r="O9" s="1" t="s">
        <v>21</v>
      </c>
      <c r="P9" s="22">
        <f>'Summary Stats'!F5</f>
        <v>50148</v>
      </c>
    </row>
    <row r="10" spans="1:16" ht="15" customHeight="1" x14ac:dyDescent="0.2">
      <c r="C10" s="1" t="s">
        <v>102</v>
      </c>
      <c r="D10" s="1">
        <f>'Summary Stats'!C11</f>
        <v>2</v>
      </c>
      <c r="I10" s="1" t="s">
        <v>102</v>
      </c>
      <c r="J10" s="22">
        <f>'Summary Stats'!C14</f>
        <v>3086</v>
      </c>
      <c r="O10" s="1" t="s">
        <v>26</v>
      </c>
      <c r="P10" s="22">
        <f>'Summary Stats'!F6</f>
        <v>68046</v>
      </c>
    </row>
    <row r="11" spans="1:16" ht="15" customHeight="1" x14ac:dyDescent="0.2"/>
  </sheetData>
  <mergeCells count="9">
    <mergeCell ref="A4:C4"/>
    <mergeCell ref="D4:F4"/>
    <mergeCell ref="G4:I4"/>
    <mergeCell ref="J4:L4"/>
    <mergeCell ref="A1:N1"/>
    <mergeCell ref="A3:C3"/>
    <mergeCell ref="D3:F3"/>
    <mergeCell ref="G3:I3"/>
    <mergeCell ref="J3:L3"/>
  </mergeCell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C3E6"/>
  </sheetPr>
  <dimension ref="A1:D18"/>
  <sheetViews>
    <sheetView zoomScaleNormal="100" workbookViewId="0">
      <selection activeCell="K18" sqref="K18"/>
    </sheetView>
  </sheetViews>
  <sheetFormatPr defaultColWidth="8.7421875" defaultRowHeight="15" x14ac:dyDescent="0.2"/>
  <cols>
    <col min="1" max="1" width="4.9765625" style="1" customWidth="1"/>
    <col min="2" max="2" width="18.0234375" style="1" customWidth="1"/>
    <col min="3" max="3" width="52.8671875" style="1" bestFit="1" customWidth="1"/>
    <col min="4" max="4" width="81.65625" style="1" customWidth="1"/>
  </cols>
  <sheetData>
    <row r="1" spans="1:4" ht="27.75" customHeight="1" x14ac:dyDescent="0.2">
      <c r="A1" s="46" t="s">
        <v>139</v>
      </c>
      <c r="B1" s="46"/>
      <c r="C1" s="46"/>
      <c r="D1" s="46"/>
    </row>
    <row r="2" spans="1:4" ht="24.75" customHeight="1" x14ac:dyDescent="0.2">
      <c r="A2" s="2" t="s">
        <v>140</v>
      </c>
      <c r="B2" s="2" t="s">
        <v>141</v>
      </c>
      <c r="C2" s="2" t="s">
        <v>142</v>
      </c>
      <c r="D2" s="2" t="s">
        <v>143</v>
      </c>
    </row>
    <row r="3" spans="1:4" ht="21.75" customHeight="1" x14ac:dyDescent="0.2">
      <c r="A3" s="23">
        <v>1</v>
      </c>
      <c r="B3" s="24" t="s">
        <v>144</v>
      </c>
      <c r="C3" s="25" t="s">
        <v>145</v>
      </c>
      <c r="D3" s="26" t="s">
        <v>176</v>
      </c>
    </row>
    <row r="4" spans="1:4" ht="21.75" customHeight="1" x14ac:dyDescent="0.2">
      <c r="A4" s="27">
        <v>2</v>
      </c>
      <c r="B4" s="28" t="s">
        <v>146</v>
      </c>
      <c r="C4" s="29" t="s">
        <v>147</v>
      </c>
      <c r="D4" s="30" t="s">
        <v>177</v>
      </c>
    </row>
    <row r="5" spans="1:4" ht="21.75" customHeight="1" x14ac:dyDescent="0.2">
      <c r="A5" s="23">
        <v>3</v>
      </c>
      <c r="B5" s="24" t="s">
        <v>148</v>
      </c>
      <c r="C5" s="25" t="s">
        <v>149</v>
      </c>
      <c r="D5" s="26" t="s">
        <v>178</v>
      </c>
    </row>
    <row r="6" spans="1:4" ht="21.75" customHeight="1" x14ac:dyDescent="0.2">
      <c r="A6" s="27">
        <v>4</v>
      </c>
      <c r="B6" s="28" t="s">
        <v>150</v>
      </c>
      <c r="C6" s="29" t="s">
        <v>151</v>
      </c>
      <c r="D6" s="30" t="s">
        <v>179</v>
      </c>
    </row>
    <row r="7" spans="1:4" ht="21.75" customHeight="1" x14ac:dyDescent="0.2">
      <c r="A7" s="23">
        <v>5</v>
      </c>
      <c r="B7" s="24" t="s">
        <v>152</v>
      </c>
      <c r="C7" s="25" t="s">
        <v>153</v>
      </c>
      <c r="D7" s="26" t="s">
        <v>180</v>
      </c>
    </row>
    <row r="8" spans="1:4" ht="21.75" customHeight="1" x14ac:dyDescent="0.2">
      <c r="A8" s="27">
        <v>6</v>
      </c>
      <c r="B8" s="28" t="s">
        <v>154</v>
      </c>
      <c r="C8" s="29" t="s">
        <v>155</v>
      </c>
      <c r="D8" s="30" t="s">
        <v>181</v>
      </c>
    </row>
    <row r="9" spans="1:4" ht="21.75" customHeight="1" x14ac:dyDescent="0.2">
      <c r="A9" s="23">
        <v>7</v>
      </c>
      <c r="B9" s="24" t="s">
        <v>156</v>
      </c>
      <c r="C9" s="25" t="s">
        <v>157</v>
      </c>
      <c r="D9" s="26" t="s">
        <v>182</v>
      </c>
    </row>
    <row r="10" spans="1:4" ht="21.75" customHeight="1" x14ac:dyDescent="0.2">
      <c r="A10" s="27">
        <v>8</v>
      </c>
      <c r="B10" s="28" t="s">
        <v>158</v>
      </c>
      <c r="C10" s="29" t="s">
        <v>159</v>
      </c>
      <c r="D10" s="30" t="s">
        <v>183</v>
      </c>
    </row>
    <row r="11" spans="1:4" ht="21.75" customHeight="1" x14ac:dyDescent="0.2">
      <c r="A11" s="23">
        <v>9</v>
      </c>
      <c r="B11" s="24" t="s">
        <v>160</v>
      </c>
      <c r="C11" s="25" t="s">
        <v>161</v>
      </c>
      <c r="D11" s="26" t="s">
        <v>184</v>
      </c>
    </row>
    <row r="12" spans="1:4" ht="21.75" customHeight="1" x14ac:dyDescent="0.2">
      <c r="A12" s="27">
        <v>10</v>
      </c>
      <c r="B12" s="28" t="s">
        <v>162</v>
      </c>
      <c r="C12" s="29" t="s">
        <v>163</v>
      </c>
      <c r="D12" s="30" t="s">
        <v>185</v>
      </c>
    </row>
    <row r="13" spans="1:4" ht="21.75" customHeight="1" x14ac:dyDescent="0.2">
      <c r="A13" s="23">
        <v>11</v>
      </c>
      <c r="B13" s="24" t="s">
        <v>164</v>
      </c>
      <c r="C13" s="25" t="s">
        <v>165</v>
      </c>
      <c r="D13" s="26" t="s">
        <v>186</v>
      </c>
    </row>
    <row r="14" spans="1:4" ht="21.75" customHeight="1" x14ac:dyDescent="0.2">
      <c r="A14" s="27">
        <v>12</v>
      </c>
      <c r="B14" s="28" t="s">
        <v>166</v>
      </c>
      <c r="C14" s="29" t="s">
        <v>167</v>
      </c>
      <c r="D14" s="30" t="s">
        <v>188</v>
      </c>
    </row>
    <row r="15" spans="1:4" ht="21.75" customHeight="1" x14ac:dyDescent="0.2">
      <c r="A15" s="23">
        <v>13</v>
      </c>
      <c r="B15" s="24" t="s">
        <v>169</v>
      </c>
      <c r="C15" s="25" t="s">
        <v>170</v>
      </c>
      <c r="D15" s="26" t="s">
        <v>168</v>
      </c>
    </row>
    <row r="16" spans="1:4" ht="21.75" customHeight="1" x14ac:dyDescent="0.2">
      <c r="A16" s="27">
        <v>14</v>
      </c>
      <c r="B16" s="28" t="s">
        <v>171</v>
      </c>
      <c r="C16" s="29" t="s">
        <v>172</v>
      </c>
      <c r="D16" s="30" t="s">
        <v>173</v>
      </c>
    </row>
    <row r="17" spans="1:4" ht="21.75" customHeight="1" x14ac:dyDescent="0.2">
      <c r="A17" s="23">
        <v>15</v>
      </c>
      <c r="B17" s="24" t="s">
        <v>174</v>
      </c>
      <c r="C17" s="25" t="s">
        <v>175</v>
      </c>
      <c r="D17" s="31" t="s">
        <v>187</v>
      </c>
    </row>
    <row r="18" spans="1:4" ht="24.75" x14ac:dyDescent="0.2">
      <c r="A18" s="41">
        <v>16</v>
      </c>
      <c r="B18" s="42" t="s">
        <v>196</v>
      </c>
      <c r="C18" s="43" t="s">
        <v>198</v>
      </c>
      <c r="D18" s="31" t="s">
        <v>197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RFM Analysis</vt:lpstr>
      <vt:lpstr>Summary Stats</vt:lpstr>
      <vt:lpstr>Dashboard</vt:lpstr>
      <vt:lpstr>Formula 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student</cp:lastModifiedBy>
  <cp:revision>2</cp:revision>
  <dcterms:created xsi:type="dcterms:W3CDTF">2026-04-06T10:36:31Z</dcterms:created>
  <dcterms:modified xsi:type="dcterms:W3CDTF">2026-04-10T05:55:37Z</dcterms:modified>
  <dc:language>en-US</dc:language>
</cp:coreProperties>
</file>